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2D2514AD-2666-48F2-A19E-B93A29562C63}" xr6:coauthVersionLast="47" xr6:coauthVersionMax="47" xr10:uidLastSave="{00000000-0000-0000-0000-000000000000}"/>
  <bookViews>
    <workbookView xWindow="-108" yWindow="-108" windowWidth="23256" windowHeight="12456" firstSheet="2" activeTab="6" xr2:uid="{00000000-000D-0000-FFFF-FFFF00000000}"/>
  </bookViews>
  <sheets>
    <sheet name="00_Cover" sheetId="1" r:id="rId1"/>
    <sheet name="01_Assumptions" sheetId="2" r:id="rId2"/>
    <sheet name="02_Historicals" sheetId="3" r:id="rId3"/>
    <sheet name="03_Revenue" sheetId="4" r:id="rId4"/>
    <sheet name="04_Costs" sheetId="5" r:id="rId5"/>
    <sheet name="05_WC_Capex" sheetId="6" r:id="rId6"/>
    <sheet name="06_SBC_Tax_Shares" sheetId="7" r:id="rId7"/>
    <sheet name="07_IS" sheetId="8" r:id="rId8"/>
    <sheet name="08_BS" sheetId="9" r:id="rId9"/>
    <sheet name="09_CF" sheetId="10" r:id="rId10"/>
    <sheet name="10_DCF" sheetId="11" r:id="rId11"/>
    <sheet name="11_Sens_Checks" sheetId="12" r:id="rId12"/>
  </sheets>
  <definedNames>
    <definedName name="Amort_FY2026">'05_WC_Capex'!$B$30</definedName>
    <definedName name="Amort_FY2027">'05_WC_Capex'!$C$30</definedName>
    <definedName name="Amort_FY2028">'05_WC_Capex'!$D$30</definedName>
    <definedName name="Amort_FY2029">'05_WC_Capex'!$E$30</definedName>
    <definedName name="Amort_FY2030">'05_WC_Capex'!$F$30</definedName>
    <definedName name="AmortBasis_FY2026">'09_CF'!$B$9</definedName>
    <definedName name="AmortBasis_FY2027">'09_CF'!$C$9</definedName>
    <definedName name="AmortBasis_FY2028">'09_CF'!$D$9</definedName>
    <definedName name="AmortBasis_FY2029">'09_CF'!$E$9</definedName>
    <definedName name="AmortBasis_FY2030">'09_CF'!$F$9</definedName>
    <definedName name="Assumption_accounts_payable_pct_revenue">'01_Assumptions'!$C$12</definedName>
    <definedName name="Assumption_accrued_expenses_pct_revenue">'01_Assumptions'!$C$13</definedName>
    <definedName name="Assumption_advertising_revenue_growth">'01_Assumptions'!$C$28</definedName>
    <definedName name="Assumption_amortization_pct_revenue">'01_Assumptions'!$C$20</definedName>
    <definedName name="Assumption_beta">'01_Assumptions'!$C$48</definedName>
    <definedName name="Assumption_capex_ppe_pct_revenue">'01_Assumptions'!$C$16</definedName>
    <definedName name="Assumption_capex_total_pct_revenue">'01_Assumptions'!$C$18</definedName>
    <definedName name="Assumption_capitalized_software_pct_revenue">'01_Assumptions'!$C$17</definedName>
    <definedName name="Assumption_cost_of_revenue_pct_revenue">'01_Assumptions'!$C$34</definedName>
    <definedName name="Assumption_deferred_cost_pct_revenue">'01_Assumptions'!$C$8</definedName>
    <definedName name="Assumption_deferred_revenue_pct_revenue">'01_Assumptions'!$C$7</definedName>
    <definedName name="Assumption_depreciation_pct_ppe_gross">'01_Assumptions'!$C$21</definedName>
    <definedName name="Assumption_depreciation_pct_revenue">'01_Assumptions'!$C$19</definedName>
    <definedName name="Assumption_det_revenue_growth">'01_Assumptions'!$C$29</definedName>
    <definedName name="Assumption_dpo_days">'01_Assumptions'!$C$11</definedName>
    <definedName name="Assumption_dso_days">'01_Assumptions'!$C$6</definedName>
    <definedName name="Assumption_effective_tax_rate">'01_Assumptions'!$C$40</definedName>
    <definedName name="Assumption_equity_risk_premium">'01_Assumptions'!$C$49</definedName>
    <definedName name="Assumption_fade_shape">'01_Assumptions'!$C$54</definedName>
    <definedName name="Assumption_ga_pct_revenue">'01_Assumptions'!$C$37</definedName>
    <definedName name="Assumption_iap_revenue_growth">'01_Assumptions'!$C$30</definedName>
    <definedName name="Assumption_income_tax_payable_pct_revenue">'01_Assumptions'!$C$14</definedName>
    <definedName name="Assumption_income_tax_receivable_pct_revenue">'01_Assumptions'!$C$10</definedName>
    <definedName name="Assumption_interest_income_rate">'01_Assumptions'!$C$45</definedName>
    <definedName name="Assumption_market_share_price">'01_Assumptions'!$C$51</definedName>
    <definedName name="Assumption_net_share_settlement_taxes">'01_Assumptions'!$C$44</definedName>
    <definedName name="Assumption_option_proceeds">'01_Assumptions'!$C$43</definedName>
    <definedName name="Assumption_other_income_net_pct_revenue">'01_Assumptions'!$C$38</definedName>
    <definedName name="Assumption_other_revenue_growth">'01_Assumptions'!$C$31</definedName>
    <definedName name="Assumption_paid_subscriber_fade_floor">'01_Assumptions'!$C$32</definedName>
    <definedName name="Assumption_paid_subscriber_growth">'01_Assumptions'!$C$26</definedName>
    <definedName name="Assumption_prepaid_expenses_pct_revenue">'01_Assumptions'!$C$9</definedName>
    <definedName name="Assumption_rd_pct_revenue">'01_Assumptions'!$C$35</definedName>
    <definedName name="Assumption_risk_free_rate">'01_Assumptions'!$C$47</definedName>
    <definedName name="Assumption_sbc_fade_end_pct_of_revenue">'01_Assumptions'!$C$24</definedName>
    <definedName name="Assumption_sbc_issuance_price">'01_Assumptions'!$C$53</definedName>
    <definedName name="Assumption_sbc_target_pct_of_revenue">'01_Assumptions'!$C$23</definedName>
    <definedName name="Assumption_share_repurchases">'01_Assumptions'!$C$42</definedName>
    <definedName name="Assumption_shares_outstanding">'01_Assumptions'!$C$52</definedName>
    <definedName name="Assumption_sm_pct_revenue">'01_Assumptions'!$C$36</definedName>
    <definedName name="Assumption_subscription_arpu">'01_Assumptions'!$C$27</definedName>
    <definedName name="Assumption_terminal_growth_rate">'01_Assumptions'!$C$50</definedName>
    <definedName name="Bookings_FY2026">'03_Revenue'!$B$56</definedName>
    <definedName name="Bookings_FY2027">'03_Revenue'!$C$56</definedName>
    <definedName name="Bookings_FY2028">'03_Revenue'!$D$56</definedName>
    <definedName name="Bookings_FY2029">'03_Revenue'!$E$56</definedName>
    <definedName name="Bookings_FY2030">'03_Revenue'!$F$56</definedName>
    <definedName name="Bound_C2_PCT">'01_Assumptions'!$C$71</definedName>
    <definedName name="BS_APIC_FY2026">'08_BS'!$B$61</definedName>
    <definedName name="BS_APIC_FY2027">'08_BS'!$C$61</definedName>
    <definedName name="BS_APIC_FY2028">'08_BS'!$D$61</definedName>
    <definedName name="BS_APIC_FY2029">'08_BS'!$E$61</definedName>
    <definedName name="BS_APIC_FY2030">'08_BS'!$F$61</definedName>
    <definedName name="BS_Cash_FY2026">'08_BS'!$B$26</definedName>
    <definedName name="BS_Cash_FY2027">'08_BS'!$C$26</definedName>
    <definedName name="BS_Cash_FY2028">'08_BS'!$D$26</definedName>
    <definedName name="BS_Cash_FY2029">'08_BS'!$E$26</definedName>
    <definedName name="BS_Cash_FY2030">'08_BS'!$F$26</definedName>
    <definedName name="BS_Cash_Q2FY26">'02_Historicals'!$K$29</definedName>
    <definedName name="BS_CurrentAssets_FY2026">'08_BS'!$B$32</definedName>
    <definedName name="BS_CurrentAssets_FY2027">'08_BS'!$C$32</definedName>
    <definedName name="BS_CurrentAssets_FY2028">'08_BS'!$D$32</definedName>
    <definedName name="BS_CurrentAssets_FY2029">'08_BS'!$E$32</definedName>
    <definedName name="BS_CurrentAssets_FY2030">'08_BS'!$F$32</definedName>
    <definedName name="BS_CurrentLiab_FY2026">'08_BS'!$B$51</definedName>
    <definedName name="BS_CurrentLiab_FY2027">'08_BS'!$C$51</definedName>
    <definedName name="BS_CurrentLiab_FY2028">'08_BS'!$D$51</definedName>
    <definedName name="BS_CurrentLiab_FY2029">'08_BS'!$E$51</definedName>
    <definedName name="BS_CurrentLiab_FY2030">'08_BS'!$F$51</definedName>
    <definedName name="BS_IntangNet_FY2026">'08_BS'!$B$38</definedName>
    <definedName name="BS_IntangNet_FY2027">'08_BS'!$C$38</definedName>
    <definedName name="BS_IntangNet_FY2028">'08_BS'!$D$38</definedName>
    <definedName name="BS_IntangNet_FY2029">'08_BS'!$E$38</definedName>
    <definedName name="BS_IntangNet_FY2030">'08_BS'!$F$38</definedName>
    <definedName name="BS_LTI_FY2026">'08_BS'!$B$36</definedName>
    <definedName name="BS_LTI_FY2027">'08_BS'!$C$36</definedName>
    <definedName name="BS_LTI_FY2028">'08_BS'!$D$36</definedName>
    <definedName name="BS_LTI_FY2029">'08_BS'!$E$36</definedName>
    <definedName name="BS_LTI_FY2030">'08_BS'!$F$36</definedName>
    <definedName name="BS_LTI_Q2FY26">'02_Historicals'!$K$39</definedName>
    <definedName name="BS_NonCurrentAssets_FY2026">'08_BS'!$B$43</definedName>
    <definedName name="BS_NonCurrentAssets_FY2027">'08_BS'!$C$43</definedName>
    <definedName name="BS_NonCurrentAssets_FY2028">'08_BS'!$D$43</definedName>
    <definedName name="BS_NonCurrentAssets_FY2029">'08_BS'!$E$43</definedName>
    <definedName name="BS_NonCurrentAssets_FY2030">'08_BS'!$F$43</definedName>
    <definedName name="BS_NonCurrentLiab_FY2026">'08_BS'!$B$56</definedName>
    <definedName name="BS_NonCurrentLiab_FY2027">'08_BS'!$C$56</definedName>
    <definedName name="BS_NonCurrentLiab_FY2028">'08_BS'!$D$56</definedName>
    <definedName name="BS_NonCurrentLiab_FY2029">'08_BS'!$E$56</definedName>
    <definedName name="BS_NonCurrentLiab_FY2030">'08_BS'!$F$56</definedName>
    <definedName name="BS_PPENet_FY2026">'08_BS'!$B$37</definedName>
    <definedName name="BS_PPENet_FY2027">'08_BS'!$C$37</definedName>
    <definedName name="BS_PPENet_FY2028">'08_BS'!$D$37</definedName>
    <definedName name="BS_PPENet_FY2029">'08_BS'!$E$37</definedName>
    <definedName name="BS_PPENet_FY2030">'08_BS'!$F$37</definedName>
    <definedName name="BS_Q2_APIC">'08_BS'!$B$19</definedName>
    <definedName name="BS_Q2_Cash">'08_BS'!$B$6</definedName>
    <definedName name="BS_Q2_Common">'08_BS'!$B$18</definedName>
    <definedName name="BS_Q2_DTA">'08_BS'!$B$12</definedName>
    <definedName name="BS_Q2_DTL">'08_BS'!$B$17</definedName>
    <definedName name="BS_Q2_Goodwill">'08_BS'!$B$10</definedName>
    <definedName name="BS_Q2_Intang">'08_BS'!$B$15</definedName>
    <definedName name="BS_Q2_Lease">'08_BS'!$B$16</definedName>
    <definedName name="BS_Q2_LTI">'08_BS'!$B$8</definedName>
    <definedName name="BS_Q2_Other">'08_BS'!$B$13</definedName>
    <definedName name="BS_Q2_PPE">'08_BS'!$B$14</definedName>
    <definedName name="BS_Q2_RE">'08_BS'!$B$20</definedName>
    <definedName name="BS_Q2_Restricted">'08_BS'!$B$11</definedName>
    <definedName name="BS_Q2_ROU">'08_BS'!$B$9</definedName>
    <definedName name="BS_Q2_STI">'08_BS'!$B$7</definedName>
    <definedName name="BS_Q2_Treasury">'08_BS'!$B$21</definedName>
    <definedName name="BS_RE_FY2026">'08_BS'!$B$62</definedName>
    <definedName name="BS_RE_FY2027">'08_BS'!$C$62</definedName>
    <definedName name="BS_RE_FY2028">'08_BS'!$D$62</definedName>
    <definedName name="BS_RE_FY2029">'08_BS'!$E$62</definedName>
    <definedName name="BS_RE_FY2030">'08_BS'!$F$62</definedName>
    <definedName name="BS_STI_FY2026">'08_BS'!$B$27</definedName>
    <definedName name="BS_STI_FY2027">'08_BS'!$C$27</definedName>
    <definedName name="BS_STI_FY2028">'08_BS'!$D$27</definedName>
    <definedName name="BS_STI_FY2029">'08_BS'!$E$27</definedName>
    <definedName name="BS_STI_FY2030">'08_BS'!$F$27</definedName>
    <definedName name="BS_STI_Q2FY26">'02_Historicals'!$K$38</definedName>
    <definedName name="BS_TotalAssets_FY2026">'08_BS'!$B$44</definedName>
    <definedName name="BS_TotalAssets_FY2027">'08_BS'!$C$44</definedName>
    <definedName name="BS_TotalAssets_FY2028">'08_BS'!$D$44</definedName>
    <definedName name="BS_TotalAssets_FY2029">'08_BS'!$E$44</definedName>
    <definedName name="BS_TotalAssets_FY2030">'08_BS'!$F$44</definedName>
    <definedName name="BS_TotalEquity_FY2026">'08_BS'!$B$64</definedName>
    <definedName name="BS_TotalEquity_FY2027">'08_BS'!$C$64</definedName>
    <definedName name="BS_TotalEquity_FY2028">'08_BS'!$D$64</definedName>
    <definedName name="BS_TotalEquity_FY2029">'08_BS'!$E$64</definedName>
    <definedName name="BS_TotalEquity_FY2030">'08_BS'!$F$64</definedName>
    <definedName name="BS_TotalLiab_FY2026">'08_BS'!$B$57</definedName>
    <definedName name="BS_TotalLiab_FY2027">'08_BS'!$C$57</definedName>
    <definedName name="BS_TotalLiab_FY2028">'08_BS'!$D$57</definedName>
    <definedName name="BS_TotalLiab_FY2029">'08_BS'!$E$57</definedName>
    <definedName name="BS_TotalLiab_FY2030">'08_BS'!$F$57</definedName>
    <definedName name="BS_TotalLiabEquity_FY2026">'08_BS'!$B$65</definedName>
    <definedName name="BS_TotalLiabEquity_FY2027">'08_BS'!$C$65</definedName>
    <definedName name="BS_TotalLiabEquity_FY2028">'08_BS'!$D$65</definedName>
    <definedName name="BS_TotalLiabEquity_FY2029">'08_BS'!$E$65</definedName>
    <definedName name="BS_TotalLiabEquity_FY2030">'08_BS'!$F$65</definedName>
    <definedName name="BuybackBasis_FY2026">'09_CF'!$B$13</definedName>
    <definedName name="BuybackBasis_FY2027">'09_CF'!$C$13</definedName>
    <definedName name="BuybackBasis_FY2028">'09_CF'!$D$13</definedName>
    <definedName name="BuybackBasis_FY2029">'09_CF'!$E$13</definedName>
    <definedName name="BuybackBasis_FY2030">'09_CF'!$F$13</definedName>
    <definedName name="Capex_PPE_FY2026">'05_WC_Capex'!$B$23</definedName>
    <definedName name="Capex_PPE_FY2027">'05_WC_Capex'!$C$23</definedName>
    <definedName name="Capex_PPE_FY2028">'05_WC_Capex'!$D$23</definedName>
    <definedName name="Capex_PPE_FY2029">'05_WC_Capex'!$E$23</definedName>
    <definedName name="Capex_PPE_FY2030">'05_WC_Capex'!$F$23</definedName>
    <definedName name="Capex_Soft_FY2026">'05_WC_Capex'!$B$24</definedName>
    <definedName name="Capex_Soft_FY2027">'05_WC_Capex'!$C$24</definedName>
    <definedName name="Capex_Soft_FY2028">'05_WC_Capex'!$D$24</definedName>
    <definedName name="Capex_Soft_FY2029">'05_WC_Capex'!$E$24</definedName>
    <definedName name="Capex_Soft_FY2030">'05_WC_Capex'!$F$24</definedName>
    <definedName name="Capex_Total_FY2026">'05_WC_Capex'!$B$25</definedName>
    <definedName name="Capex_Total_FY2027">'05_WC_Capex'!$C$25</definedName>
    <definedName name="Capex_Total_FY2028">'05_WC_Capex'!$D$25</definedName>
    <definedName name="Capex_Total_FY2029">'05_WC_Capex'!$E$25</definedName>
    <definedName name="Capex_Total_FY2030">'05_WC_Capex'!$F$25</definedName>
    <definedName name="CapexPPEBasis_FY2026">'09_CF'!$B$6</definedName>
    <definedName name="CapexPPEBasis_FY2027">'09_CF'!$C$6</definedName>
    <definedName name="CapexPPEBasis_FY2028">'09_CF'!$D$6</definedName>
    <definedName name="CapexPPEBasis_FY2029">'09_CF'!$E$6</definedName>
    <definedName name="CapexPPEBasis_FY2030">'09_CF'!$F$6</definedName>
    <definedName name="CapSoftBasis_FY2026">'09_CF'!$B$7</definedName>
    <definedName name="CapSoftBasis_FY2027">'09_CF'!$C$7</definedName>
    <definedName name="CapSoftBasis_FY2028">'09_CF'!$D$7</definedName>
    <definedName name="CapSoftBasis_FY2029">'09_CF'!$E$7</definedName>
    <definedName name="CapSoftBasis_FY2030">'09_CF'!$F$7</definedName>
    <definedName name="CF_BegCash_FY2026">'09_CF'!$B$45</definedName>
    <definedName name="CF_BegCash_FY2027">'09_CF'!$C$45</definedName>
    <definedName name="CF_BegCash_FY2028">'09_CF'!$D$45</definedName>
    <definedName name="CF_BegCash_FY2029">'09_CF'!$E$45</definedName>
    <definedName name="CF_BegCash_FY2030">'09_CF'!$F$45</definedName>
    <definedName name="CF_CapexPPE_FY2026">'09_CF'!$B$31</definedName>
    <definedName name="CF_CapexPPE_FY2027">'09_CF'!$C$31</definedName>
    <definedName name="CF_CapexPPE_FY2028">'09_CF'!$D$31</definedName>
    <definedName name="CF_CapexPPE_FY2029">'09_CF'!$E$31</definedName>
    <definedName name="CF_CapexPPE_FY2030">'09_CF'!$F$31</definedName>
    <definedName name="CF_CapSoft_FY2026">'09_CF'!$B$32</definedName>
    <definedName name="CF_CapSoft_FY2027">'09_CF'!$C$32</definedName>
    <definedName name="CF_CapSoft_FY2028">'09_CF'!$D$32</definedName>
    <definedName name="CF_CapSoft_FY2029">'09_CF'!$E$32</definedName>
    <definedName name="CF_CapSoft_FY2030">'09_CF'!$F$32</definedName>
    <definedName name="CF_CFF_FY2026">'09_CF'!$B$41</definedName>
    <definedName name="CF_CFF_FY2027">'09_CF'!$C$41</definedName>
    <definedName name="CF_CFF_FY2028">'09_CF'!$D$41</definedName>
    <definedName name="CF_CFF_FY2029">'09_CF'!$E$41</definedName>
    <definedName name="CF_CFF_FY2030">'09_CF'!$F$41</definedName>
    <definedName name="CF_CFF_H2_FY2026">'09_CF'!$B$40</definedName>
    <definedName name="CF_DeltaNWC_FY2026">'09_CF'!$B$26</definedName>
    <definedName name="CF_DeltaNWC_FY2027">'09_CF'!$C$26</definedName>
    <definedName name="CF_DeltaNWC_FY2028">'09_CF'!$D$26</definedName>
    <definedName name="CF_DeltaNWC_FY2029">'09_CF'!$E$26</definedName>
    <definedName name="CF_DeltaNWC_FY2030">'09_CF'!$F$26</definedName>
    <definedName name="CF_DNA_FY2026">'09_CF'!$B$24</definedName>
    <definedName name="CF_DNA_FY2027">'09_CF'!$C$24</definedName>
    <definedName name="CF_DNA_FY2028">'09_CF'!$D$24</definedName>
    <definedName name="CF_DNA_FY2029">'09_CF'!$E$24</definedName>
    <definedName name="CF_DNA_FY2030">'09_CF'!$F$24</definedName>
    <definedName name="CF_EndCash_FY2026">'09_CF'!$B$46</definedName>
    <definedName name="CF_EndCash_FY2027">'09_CF'!$C$46</definedName>
    <definedName name="CF_EndCash_FY2028">'09_CF'!$D$46</definedName>
    <definedName name="CF_EndCash_FY2029">'09_CF'!$E$46</definedName>
    <definedName name="CF_EndCash_FY2030">'09_CF'!$F$46</definedName>
    <definedName name="CF_H1_CFF">'09_CF'!$B$19</definedName>
    <definedName name="CF_H1_ICF">'09_CF'!$B$18</definedName>
    <definedName name="CF_H1_NetChange">'09_CF'!$B$20</definedName>
    <definedName name="CF_H1_OCF">'09_CF'!$B$17</definedName>
    <definedName name="CF_ICF_FY2026">'09_CF'!$B$34</definedName>
    <definedName name="CF_ICF_FY2027">'09_CF'!$C$34</definedName>
    <definedName name="CF_ICF_FY2028">'09_CF'!$D$34</definedName>
    <definedName name="CF_ICF_FY2029">'09_CF'!$E$34</definedName>
    <definedName name="CF_ICF_FY2030">'09_CF'!$F$34</definedName>
    <definedName name="CF_ICF_H2_FY2026">'09_CF'!$B$33</definedName>
    <definedName name="CF_NetChange_FY2026">'09_CF'!$B$44</definedName>
    <definedName name="CF_NetChange_FY2027">'09_CF'!$C$44</definedName>
    <definedName name="CF_NetChange_FY2028">'09_CF'!$D$44</definedName>
    <definedName name="CF_NetChange_FY2029">'09_CF'!$E$44</definedName>
    <definedName name="CF_NetChange_FY2030">'09_CF'!$F$44</definedName>
    <definedName name="CF_NetIncome_FY2026">'09_CF'!$B$23</definedName>
    <definedName name="CF_NetIncome_FY2027">'09_CF'!$C$23</definedName>
    <definedName name="CF_NetIncome_FY2028">'09_CF'!$D$23</definedName>
    <definedName name="CF_NetIncome_FY2029">'09_CF'!$E$23</definedName>
    <definedName name="CF_NetIncome_FY2030">'09_CF'!$F$23</definedName>
    <definedName name="CF_NI_Solved_FY2026">'07_IS'!$B$49</definedName>
    <definedName name="CF_OCF_FY2026">'09_CF'!$B$28</definedName>
    <definedName name="CF_OCF_FY2027">'09_CF'!$C$28</definedName>
    <definedName name="CF_OCF_FY2028">'09_CF'!$D$28</definedName>
    <definedName name="CF_OCF_FY2029">'09_CF'!$E$28</definedName>
    <definedName name="CF_OCF_FY2030">'09_CF'!$F$28</definedName>
    <definedName name="CF_OCF_H2_FY2026">'09_CF'!$B$27</definedName>
    <definedName name="CF_OptionProceeds_FY2026">'09_CF'!$B$37</definedName>
    <definedName name="CF_OptionProceeds_FY2027">'09_CF'!$C$37</definedName>
    <definedName name="CF_OptionProceeds_FY2028">'09_CF'!$D$37</definedName>
    <definedName name="CF_OptionProceeds_FY2029">'09_CF'!$E$37</definedName>
    <definedName name="CF_OptionProceeds_FY2030">'09_CF'!$F$37</definedName>
    <definedName name="CF_SBC_FY2026">'09_CF'!$B$25</definedName>
    <definedName name="CF_SBC_FY2027">'09_CF'!$C$25</definedName>
    <definedName name="CF_SBC_FY2028">'09_CF'!$D$25</definedName>
    <definedName name="CF_SBC_FY2029">'09_CF'!$E$25</definedName>
    <definedName name="CF_SBC_FY2030">'09_CF'!$F$25</definedName>
    <definedName name="CF_ShareRepurchases_FY2026">'09_CF'!$B$39</definedName>
    <definedName name="CF_ShareRepurchases_FY2027">'09_CF'!$C$39</definedName>
    <definedName name="CF_ShareRepurchases_FY2028">'09_CF'!$D$39</definedName>
    <definedName name="CF_ShareRepurchases_FY2029">'09_CF'!$E$39</definedName>
    <definedName name="CF_ShareRepurchases_FY2030">'09_CF'!$F$39</definedName>
    <definedName name="CF_TaxSettlement_FY2026">'09_CF'!$B$38</definedName>
    <definedName name="CF_TaxSettlement_FY2027">'09_CF'!$C$38</definedName>
    <definedName name="CF_TaxSettlement_FY2028">'09_CF'!$D$38</definedName>
    <definedName name="CF_TaxSettlement_FY2029">'09_CF'!$E$38</definedName>
    <definedName name="CF_TaxSettlement_FY2030">'09_CF'!$F$38</definedName>
    <definedName name="Check_BS_Balance_FY26">'08_BS'!$B$68</definedName>
    <definedName name="Check_BS_CashTie_FY26">'08_BS'!$B$69</definedName>
    <definedName name="Check_BS_ZeroPlug_FY26">'08_BS'!$B$70</definedName>
    <definedName name="Check_CF_CashChain_FY26">'09_CF'!$B$52</definedName>
    <definedName name="Check_CF_H2Modeled_FY26">'09_CF'!$B$54</definedName>
    <definedName name="Check_CF_NetChange_FY26">'09_CF'!$B$51</definedName>
    <definedName name="Check_Costs_GrossProfit_FY26">'04_Costs'!$B$42</definedName>
    <definedName name="Check_Costs_OpIncome_FY26">'04_Costs'!$B$43</definedName>
    <definedName name="Check_DCF_Canon_Le_Finite">'10_DCF'!$B$93</definedName>
    <definedName name="Check_DCF_Canonical_Tie">'10_DCF'!$B$139</definedName>
    <definedName name="Check_DCF_Days_Sum">'10_DCF'!$B$23</definedName>
    <definedName name="Check_DCF_Dilution_Diff">'10_DCF'!$B$94</definedName>
    <definedName name="Check_DCF_Discount_Factor">'10_DCF'!$B$51</definedName>
    <definedName name="Check_DCF_EV_Bridge">'10_DCF'!$B$81</definedName>
    <definedName name="Check_DCF_Finite_Tie">'10_DCF'!$B$140</definedName>
    <definedName name="Check_DCF_NetCash_Bridge">'10_DCF'!$B$82</definedName>
    <definedName name="Check_DCF_PV_Foot">'10_DCF'!$B$56</definedName>
    <definedName name="Check_DCF_Seam_FCFF">'10_DCF'!$B$42</definedName>
    <definedName name="Check_DCF_Spot_Gt_Canon">'10_DCF'!$B$92</definedName>
    <definedName name="Check_DCF_Spot_Tie">'10_DCF'!$B$141</definedName>
    <definedName name="Check_DCF_Stage_Adjacency">'10_DCF'!$B$11</definedName>
    <definedName name="Check_DCF_Stage_Sum">'10_DCF'!$B$57</definedName>
    <definedName name="Check_DCF_Stage1_A">'10_DCF'!$B$8</definedName>
    <definedName name="Check_DCF_Stage1_B">'10_DCF'!$E$9</definedName>
    <definedName name="Check_DCF_Stage2">'10_DCF'!$G$10</definedName>
    <definedName name="Check_DCF_Stage3_Basis">'10_DCF'!$B$12</definedName>
    <definedName name="Check_DCF_Wacc_Gt_G">'10_DCF'!$B$28</definedName>
    <definedName name="Check_DCF_Wacc_Ke">'10_DCF'!$B$27</definedName>
    <definedName name="Check_Hist_BS_FY25">'02_Historicals'!$F$87</definedName>
    <definedName name="Check_Hist_CashRoll_FY25">'02_Historicals'!$F$88</definedName>
    <definedName name="Check_Hist_EbitdaBridge_FY25">'02_Historicals'!$F$84</definedName>
    <definedName name="Check_IS_EBIT_FY26">'07_IS'!$B$54</definedName>
    <definedName name="Check_IS_GrossProfit_FY26">'07_IS'!$B$52</definedName>
    <definedName name="Check_IS_IntParity_FY26">'07_IS'!$B$57</definedName>
    <definedName name="Check_IS_NetIncome_FY26">'07_IS'!$B$56</definedName>
    <definedName name="Check_IS_Pretax_FY26">'07_IS'!$B$55</definedName>
    <definedName name="Check_IS_Seam_FY26">'07_IS'!$B$59</definedName>
    <definedName name="Check_Ledger_BS_Bal">'11_Sens_Checks'!$B$94</definedName>
    <definedName name="Check_Ledger_BS_Cash">'11_Sens_Checks'!$B$95</definedName>
    <definedName name="Check_Ledger_BS_Zero">'11_Sens_Checks'!$B$96</definedName>
    <definedName name="Check_Ledger_C2_Ebitda">'11_Sens_Checks'!$B$79</definedName>
    <definedName name="Check_Ledger_C2_EV">'11_Sens_Checks'!$B$113</definedName>
    <definedName name="Check_Ledger_C2_Stage">'11_Sens_Checks'!$B$114</definedName>
    <definedName name="Check_Ledger_CF_Chain">'11_Sens_Checks'!$B$98</definedName>
    <definedName name="Check_Ledger_CF_H2">'11_Sens_Checks'!$B$99</definedName>
    <definedName name="Check_Ledger_CF_Net">'11_Sens_Checks'!$B$97</definedName>
    <definedName name="Check_Ledger_Cost_GP">'11_Sens_Checks'!$B$82</definedName>
    <definedName name="Check_Ledger_Cost_OI">'11_Sens_Checks'!$B$83</definedName>
    <definedName name="Check_Ledger_Cover_EV">'11_Sens_Checks'!$B$74</definedName>
    <definedName name="Check_Ledger_Cover_NetCash">'11_Sens_Checks'!$B$75</definedName>
    <definedName name="Check_Ledger_Cover_Price">'11_Sens_Checks'!$B$73</definedName>
    <definedName name="Check_Ledger_DCF_Bridge">'11_Sens_Checks'!$B$106</definedName>
    <definedName name="Check_Ledger_DCF_Canon">'11_Sens_Checks'!$B$108</definedName>
    <definedName name="Check_Ledger_DCF_Days">'11_Sens_Checks'!$B$100</definedName>
    <definedName name="Check_Ledger_DCF_Order">'11_Sens_Checks'!$B$107</definedName>
    <definedName name="Check_Ledger_DCF_PvFoot">'11_Sens_Checks'!$B$104</definedName>
    <definedName name="Check_Ledger_DCF_Seam">'11_Sens_Checks'!$B$103</definedName>
    <definedName name="Check_Ledger_DCF_StageSum">'11_Sens_Checks'!$B$105</definedName>
    <definedName name="Check_Ledger_DCF_Wacc">'11_Sens_Checks'!$B$101</definedName>
    <definedName name="Check_Ledger_DCF_Wg">'11_Sens_Checks'!$B$102</definedName>
    <definedName name="Check_Ledger_Hist_BS">'11_Sens_Checks'!$B$76</definedName>
    <definedName name="Check_Ledger_Hist_Cash">'11_Sens_Checks'!$B$77</definedName>
    <definedName name="Check_Ledger_Hist_Ebitda">'11_Sens_Checks'!$B$78</definedName>
    <definedName name="Check_Ledger_IS_Int">'11_Sens_Checks'!$B$92</definedName>
    <definedName name="Check_Ledger_IS_NI">'11_Sens_Checks'!$B$91</definedName>
    <definedName name="Check_Ledger_IS_Pretax">'11_Sens_Checks'!$B$90</definedName>
    <definedName name="Check_Ledger_IS_Seam">'11_Sens_Checks'!$B$93</definedName>
    <definedName name="Check_Ledger_Rev_Parity">'11_Sens_Checks'!$B$81</definedName>
    <definedName name="Check_Ledger_Rev_Roll">'11_Sens_Checks'!$B$80</definedName>
    <definedName name="Check_Ledger_SBC_Parity">'11_Sens_Checks'!$B$88</definedName>
    <definedName name="Check_Ledger_Sens_Center">'11_Sens_Checks'!$B$109</definedName>
    <definedName name="Check_Ledger_Sens_CostDir">'11_Sens_Checks'!$B$112</definedName>
    <definedName name="Check_Ledger_Sens_RevDir">'11_Sens_Checks'!$B$111</definedName>
    <definedName name="Check_Ledger_Sens_Scen">'11_Sens_Checks'!$B$110</definedName>
    <definedName name="Check_Ledger_Tax_Parity">'11_Sens_Checks'!$B$89</definedName>
    <definedName name="Check_Ledger_WC_Assets">'11_Sens_Checks'!$B$84</definedName>
    <definedName name="Check_Ledger_WC_Intang">'11_Sens_Checks'!$B$87</definedName>
    <definedName name="Check_Ledger_WC_Liab">'11_Sens_Checks'!$B$85</definedName>
    <definedName name="Check_Ledger_WC_PPE">'11_Sens_Checks'!$B$86</definedName>
    <definedName name="Check_Rev_DR_Roll_FY26">'03_Revenue'!$B$65</definedName>
    <definedName name="Check_Rev_Engine_Parity_FY26">'03_Revenue'!$B$66</definedName>
    <definedName name="Check_SBC_Target_Parity_FY26">'06_SBC_Tax_Shares'!$B$27</definedName>
    <definedName name="Check_Sens_Base_Canon">'11_Sens_Checks'!$B$21</definedName>
    <definedName name="Check_Sens_Dil_Down">'11_Sens_Checks'!$B$70</definedName>
    <definedName name="Check_Sens_Dil_Up">'11_Sens_Checks'!$B$69</definedName>
    <definedName name="Check_Sens_Grid_Center">'11_Sens_Checks'!$B$44</definedName>
    <definedName name="Check_Sens_Margin_Down">'11_Sens_Checks'!$B$66</definedName>
    <definedName name="Check_Sens_Margin_Up">'11_Sens_Checks'!$B$65</definedName>
    <definedName name="Check_Sens_Rev_Down">'11_Sens_Checks'!$B$64</definedName>
    <definedName name="Check_Sens_Rev_Up">'11_Sens_Checks'!$B$63</definedName>
    <definedName name="Check_Sens_SBC_Down">'11_Sens_Checks'!$B$68</definedName>
    <definedName name="Check_Sens_SBC_Up">'11_Sens_Checks'!$B$67</definedName>
    <definedName name="Check_Tax_Prov_Parity_FY26">'06_SBC_Tax_Shares'!$B$29</definedName>
    <definedName name="Check_WC_Asset_Foot_FY26">'05_WC_Capex'!$B$46</definedName>
    <definedName name="Check_WC_Intang_Roll_FY26">'05_WC_Capex'!$B$49</definedName>
    <definedName name="Check_WC_Liab_Foot_FY26">'05_WC_Capex'!$B$47</definedName>
    <definedName name="Check_WC_PPE_Roll_FY26">'05_WC_Capex'!$B$48</definedName>
    <definedName name="CHK_DCF_EquityEng">'10_DCF'!$B$117</definedName>
    <definedName name="CHK_DCF_EVEng">'10_DCF'!$B$114</definedName>
    <definedName name="CHK_DCF_ExplicitEng">'10_DCF'!$B$111</definedName>
    <definedName name="CHK_DCF_SharesSpotEng">'10_DCF'!$B$118</definedName>
    <definedName name="Control_Scenario">'01_Assumptions'!$C$68</definedName>
    <definedName name="CostOfRev_FY2026">'04_Costs'!$B$14</definedName>
    <definedName name="CostOfRev_FY2027">'04_Costs'!$C$14</definedName>
    <definedName name="CostOfRev_FY2028">'04_Costs'!$D$14</definedName>
    <definedName name="CostOfRev_FY2029">'04_Costs'!$E$14</definedName>
    <definedName name="CostOfRev_FY2030">'04_Costs'!$F$14</definedName>
    <definedName name="Cover_AsFiledNetCash">'00_Cover'!$B$30</definedName>
    <definedName name="Cover_CanonicalPrice">'00_Cover'!$B$7</definedName>
    <definedName name="Cover_Divisor">'00_Cover'!$B$14</definedName>
    <definedName name="Cover_EquityValue">'00_Cover'!$B$13</definedName>
    <definedName name="Cover_EV">'00_Cover'!$B$11</definedName>
    <definedName name="Cover_MarketPrice">'00_Cover'!$B$8</definedName>
    <definedName name="Cover_NetCash">'00_Cover'!$B$12</definedName>
    <definedName name="Cover_SharesDiluted">'00_Cover'!$B$15</definedName>
    <definedName name="Cover_TerminalGrowth">'00_Cover'!$B$25</definedName>
    <definedName name="Cover_WACC">'00_Cover'!$B$24</definedName>
    <definedName name="DCF_Dilution_Effect">'10_DCF'!$B$91</definedName>
    <definedName name="DCF_EquityValue">'10_DCF'!$B$80</definedName>
    <definedName name="DCF_EV">'10_DCF'!$B$72</definedName>
    <definedName name="DCF_FCFF_FY2026">'10_DCF'!$B$49</definedName>
    <definedName name="DCF_FCFF_FY2027">'10_DCF'!$C$49</definedName>
    <definedName name="DCF_FCFF_FY2028">'10_DCF'!$D$49</definedName>
    <definedName name="DCF_FCFF_FY2029">'10_DCF'!$E$49</definedName>
    <definedName name="DCF_FCFF_FY2030">'10_DCF'!$F$49</definedName>
    <definedName name="DCF_FCFF_FY2031">'10_DCF'!$G$49</definedName>
    <definedName name="DCF_FCFF_FY2032">'10_DCF'!$H$49</definedName>
    <definedName name="DCF_FCFF_FY2033">'10_DCF'!$I$49</definedName>
    <definedName name="DCF_FCFF_FY2034">'10_DCF'!$J$49</definedName>
    <definedName name="DCF_FCFF_FY2035">'10_DCF'!$K$49</definedName>
    <definedName name="DCF_H1_FCFF">'10_DCF'!$B$38</definedName>
    <definedName name="DCF_H5_Divisor">'10_DCF'!$B$97</definedName>
    <definedName name="DCF_H5_EV">'10_DCF'!$B$99</definedName>
    <definedName name="DCF_H5_PerShareCanonical">'10_DCF'!$B$96</definedName>
    <definedName name="DCF_H5_PerShareFinite">'10_DCF'!$B$98</definedName>
    <definedName name="DCF_NetCash">'10_DCF'!$B$79</definedName>
    <definedName name="DCF_PerShareCanonical">'10_DCF'!$B$88</definedName>
    <definedName name="DCF_PerShareFinite">'10_DCF'!$B$89</definedName>
    <definedName name="DCF_PerShareSpot">'10_DCF'!$B$90</definedName>
    <definedName name="DCF_PostVal_FCFF">'10_DCF'!$B$41</definedName>
    <definedName name="DCF_PreVal_FCFF">'10_DCF'!$B$40</definedName>
    <definedName name="DCF_PvExplicit">'10_DCF'!$B$55</definedName>
    <definedName name="DCF_PvStage1">'10_DCF'!$B$53</definedName>
    <definedName name="DCF_PvStage2">'10_DCF'!$B$54</definedName>
    <definedName name="DCF_PvTerminal">'10_DCF'!$B$68</definedName>
    <definedName name="DCF_RolledCash">'10_DCF'!$B$75</definedName>
    <definedName name="DCF_Shares_Finite">'10_DCF'!$B$85</definedName>
    <definedName name="DCF_Shares_Perp">'10_DCF'!$B$87</definedName>
    <definedName name="DCF_Shares_Spot">'10_DCF'!$B$84</definedName>
    <definedName name="DCF_T_FY2026">'10_DCF'!$B$46</definedName>
    <definedName name="DCF_T_FY2027">'10_DCF'!$C$46</definedName>
    <definedName name="DCF_T_FY2028">'10_DCF'!$D$46</definedName>
    <definedName name="DCF_T_FY2029">'10_DCF'!$E$46</definedName>
    <definedName name="DCF_T_FY2030">'10_DCF'!$F$46</definedName>
    <definedName name="DCF_T_FY2031">'10_DCF'!$G$46</definedName>
    <definedName name="DCF_T_FY2032">'10_DCF'!$H$46</definedName>
    <definedName name="DCF_T_FY2033">'10_DCF'!$I$46</definedName>
    <definedName name="DCF_T_FY2034">'10_DCF'!$J$46</definedName>
    <definedName name="DCF_T_FY2035">'10_DCF'!$K$46</definedName>
    <definedName name="DCF_TerminalGrowth">'10_DCF'!$B$26</definedName>
    <definedName name="DCF_TerminalValue">'10_DCF'!$B$66</definedName>
    <definedName name="DCF_TminusHalf_FY2026">'10_DCF'!$B$47</definedName>
    <definedName name="DCF_WACC">'10_DCF'!$B$24</definedName>
    <definedName name="DepBasis_FY2026">'09_CF'!$B$8</definedName>
    <definedName name="DepBasis_FY2027">'09_CF'!$C$8</definedName>
    <definedName name="DepBasis_FY2028">'09_CF'!$D$8</definedName>
    <definedName name="DepBasis_FY2029">'09_CF'!$E$8</definedName>
    <definedName name="DepBasis_FY2030">'09_CF'!$F$8</definedName>
    <definedName name="Deprec_FY2026">'05_WC_Capex'!$B$29</definedName>
    <definedName name="Deprec_FY2027">'05_WC_Capex'!$C$29</definedName>
    <definedName name="Deprec_FY2028">'05_WC_Capex'!$D$29</definedName>
    <definedName name="Deprec_FY2029">'05_WC_Capex'!$E$29</definedName>
    <definedName name="Deprec_FY2030">'05_WC_Capex'!$F$29</definedName>
    <definedName name="DNA_Total_FY2026">'05_WC_Capex'!$B$31</definedName>
    <definedName name="DNA_Total_FY2027">'05_WC_Capex'!$C$31</definedName>
    <definedName name="DNA_Total_FY2028">'05_WC_Capex'!$D$31</definedName>
    <definedName name="DNA_Total_FY2029">'05_WC_Capex'!$E$31</definedName>
    <definedName name="DNA_Total_FY2030">'05_WC_Capex'!$F$31</definedName>
    <definedName name="DR_BOP_FY2026">'03_Revenue'!$B$59</definedName>
    <definedName name="DR_BOP_FY2027">'03_Revenue'!$C$59</definedName>
    <definedName name="DR_BOP_FY2028">'03_Revenue'!$D$59</definedName>
    <definedName name="DR_BOP_FY2029">'03_Revenue'!$E$59</definedName>
    <definedName name="DR_BOP_FY2030">'03_Revenue'!$F$59</definedName>
    <definedName name="DR_EOP_FY2026">'03_Revenue'!$B$63</definedName>
    <definedName name="DR_EOP_FY2027">'03_Revenue'!$C$63</definedName>
    <definedName name="DR_EOP_FY2028">'03_Revenue'!$D$63</definedName>
    <definedName name="DR_EOP_FY2029">'03_Revenue'!$E$63</definedName>
    <definedName name="DR_EOP_FY2030">'03_Revenue'!$F$63</definedName>
    <definedName name="EBIT_FY2026">'07_IS'!$B$16</definedName>
    <definedName name="EBIT_FY2027">'07_IS'!$C$16</definedName>
    <definedName name="EBIT_FY2028">'07_IS'!$D$16</definedName>
    <definedName name="EBIT_FY2029">'07_IS'!$E$16</definedName>
    <definedName name="EBIT_FY2030">'07_IS'!$F$16</definedName>
    <definedName name="EBITH2_FY2026">'07_IS'!$B$31</definedName>
    <definedName name="GrossProfit_FY2026">'04_Costs'!$B$16</definedName>
    <definedName name="GrossProfit_FY2027">'04_Costs'!$C$16</definedName>
    <definedName name="GrossProfit_FY2028">'04_Costs'!$D$16</definedName>
    <definedName name="GrossProfit_FY2029">'04_Costs'!$E$16</definedName>
    <definedName name="GrossProfit_FY2030">'04_Costs'!$F$16</definedName>
    <definedName name="Hist_Cash_Q2FY26">'02_Historicals'!$K$29</definedName>
    <definedName name="Hist_DAU_FY2025">'02_Historicals'!$F$71</definedName>
    <definedName name="Hist_EbitdaResid_FY25">'02_Historicals'!$F$83</definedName>
    <definedName name="Hist_LTI_Q2FY26">'02_Historicals'!$K$39</definedName>
    <definedName name="Hist_MAU_FY2025">'02_Historicals'!$F$72</definedName>
    <definedName name="Hist_PaidSubs_FY2025">'02_Historicals'!$F$73</definedName>
    <definedName name="Hist_Revenue_FY2025">'02_Historicals'!$F$11</definedName>
    <definedName name="Hist_Revenue_FY21">'02_Historicals'!$B$11</definedName>
    <definedName name="Hist_Revenue_FY22">'02_Historicals'!$C$11</definedName>
    <definedName name="Hist_Revenue_FY23">'02_Historicals'!$D$11</definedName>
    <definedName name="Hist_Revenue_FY24">'02_Historicals'!$E$11</definedName>
    <definedName name="Hist_Revenue_FY25">'02_Historicals'!$F$11</definedName>
    <definedName name="Hist_STI_Q2FY26">'02_Historicals'!$K$38</definedName>
    <definedName name="Intangibles_BOP_FY2026">'05_WC_Capex'!$B$40</definedName>
    <definedName name="Intangibles_BOP_FY2027">'05_WC_Capex'!$C$40</definedName>
    <definedName name="Intangibles_BOP_FY2028">'05_WC_Capex'!$D$40</definedName>
    <definedName name="Intangibles_BOP_FY2029">'05_WC_Capex'!$E$40</definedName>
    <definedName name="Intangibles_BOP_FY2030">'05_WC_Capex'!$F$40</definedName>
    <definedName name="Intangibles_FY2026">'05_WC_Capex'!$B$43</definedName>
    <definedName name="Intangibles_FY2027">'05_WC_Capex'!$C$43</definedName>
    <definedName name="Intangibles_FY2028">'05_WC_Capex'!$D$43</definedName>
    <definedName name="Intangibles_FY2029">'05_WC_Capex'!$E$43</definedName>
    <definedName name="Intangibles_FY2030">'05_WC_Capex'!$F$43</definedName>
    <definedName name="IS_AvgInvested_FY2026">'07_IS'!$B$43</definedName>
    <definedName name="IS_AvgInvested_FY2027">'07_IS'!$C$43</definedName>
    <definedName name="IS_AvgInvested_FY2028">'07_IS'!$D$43</definedName>
    <definedName name="IS_AvgInvested_FY2029">'07_IS'!$E$43</definedName>
    <definedName name="IS_AvgInvested_FY2030">'07_IS'!$F$43</definedName>
    <definedName name="IS_COGS_FY2026">'07_IS'!$B$7</definedName>
    <definedName name="IS_COGS_FY2027">'07_IS'!$C$7</definedName>
    <definedName name="IS_COGS_FY2028">'07_IS'!$D$7</definedName>
    <definedName name="IS_COGS_FY2029">'07_IS'!$E$7</definedName>
    <definedName name="IS_COGS_FY2030">'07_IS'!$F$7</definedName>
    <definedName name="IS_EBIT_FY2026">'07_IS'!$B$16</definedName>
    <definedName name="IS_EBIT_FY2027">'07_IS'!$C$16</definedName>
    <definedName name="IS_EBIT_FY2028">'07_IS'!$D$16</definedName>
    <definedName name="IS_EBIT_FY2029">'07_IS'!$E$16</definedName>
    <definedName name="IS_EBIT_FY2030">'07_IS'!$F$16</definedName>
    <definedName name="IS_EBIT_H1_Cited">'07_IS'!$B$29</definedName>
    <definedName name="IS_GrossProfit_FY2026">'07_IS'!$B$8</definedName>
    <definedName name="IS_GrossProfit_FY2027">'07_IS'!$C$8</definedName>
    <definedName name="IS_GrossProfit_FY2028">'07_IS'!$D$8</definedName>
    <definedName name="IS_GrossProfit_FY2029">'07_IS'!$E$8</definedName>
    <definedName name="IS_GrossProfit_FY2030">'07_IS'!$F$8</definedName>
    <definedName name="IS_Interest_FY2026">'07_IS'!$B$21</definedName>
    <definedName name="IS_Interest_FY2027">'07_IS'!$C$21</definedName>
    <definedName name="IS_Interest_FY2028">'07_IS'!$D$21</definedName>
    <definedName name="IS_Interest_FY2029">'07_IS'!$E$21</definedName>
    <definedName name="IS_Interest_FY2030">'07_IS'!$F$21</definedName>
    <definedName name="IS_Interest_H1_Cited">'07_IS'!$B$46</definedName>
    <definedName name="IS_InterestSolve_FY2026">'07_IS'!$B$47</definedName>
    <definedName name="IS_InterestSolve_FY2027">'07_IS'!$C$47</definedName>
    <definedName name="IS_InterestSolve_FY2028">'07_IS'!$D$47</definedName>
    <definedName name="IS_InterestSolve_FY2029">'07_IS'!$E$47</definedName>
    <definedName name="IS_InterestSolve_FY2030">'07_IS'!$F$47</definedName>
    <definedName name="IS_InterestSolved_FY2026">'07_IS'!$B$45</definedName>
    <definedName name="IS_InterestSolved_FY2027">'07_IS'!$C$45</definedName>
    <definedName name="IS_InterestSolved_FY2028">'07_IS'!$D$45</definedName>
    <definedName name="IS_InterestSolved_FY2029">'07_IS'!$E$45</definedName>
    <definedName name="IS_InterestSolved_FY2030">'07_IS'!$F$45</definedName>
    <definedName name="IS_NetIncome_FY2026">'07_IS'!$B$24</definedName>
    <definedName name="IS_NetIncome_FY2027">'07_IS'!$C$24</definedName>
    <definedName name="IS_NetIncome_FY2028">'07_IS'!$D$24</definedName>
    <definedName name="IS_NetIncome_FY2029">'07_IS'!$E$24</definedName>
    <definedName name="IS_NetIncome_FY2030">'07_IS'!$F$24</definedName>
    <definedName name="IS_NI_H1_Cited">'07_IS'!$B$48</definedName>
    <definedName name="IS_Opex_Total_FY2026">'07_IS'!$B$15</definedName>
    <definedName name="IS_Opex_Total_FY2027">'07_IS'!$C$15</definedName>
    <definedName name="IS_Opex_Total_FY2028">'07_IS'!$D$15</definedName>
    <definedName name="IS_Opex_Total_FY2029">'07_IS'!$E$15</definedName>
    <definedName name="IS_Opex_Total_FY2030">'07_IS'!$F$15</definedName>
    <definedName name="IS_Other_H1_Cited">'07_IS'!$B$30</definedName>
    <definedName name="IS_OtherIncome_FY2026">'07_IS'!$B$20</definedName>
    <definedName name="IS_OtherIncome_FY2027">'07_IS'!$C$20</definedName>
    <definedName name="IS_OtherIncome_FY2028">'07_IS'!$D$20</definedName>
    <definedName name="IS_OtherIncome_FY2029">'07_IS'!$E$20</definedName>
    <definedName name="IS_OtherIncome_FY2030">'07_IS'!$F$20</definedName>
    <definedName name="IS_Pretax_FY2026">'07_IS'!$B$22</definedName>
    <definedName name="IS_Pretax_FY2027">'07_IS'!$C$22</definedName>
    <definedName name="IS_Pretax_FY2028">'07_IS'!$D$22</definedName>
    <definedName name="IS_Pretax_FY2029">'07_IS'!$E$22</definedName>
    <definedName name="IS_Pretax_FY2030">'07_IS'!$F$22</definedName>
    <definedName name="IS_Revenue_FY2026">'07_IS'!$B$6</definedName>
    <definedName name="IS_Revenue_FY2027">'07_IS'!$C$6</definedName>
    <definedName name="IS_Revenue_FY2028">'07_IS'!$D$6</definedName>
    <definedName name="IS_Revenue_FY2029">'07_IS'!$E$6</definedName>
    <definedName name="IS_Revenue_FY2030">'07_IS'!$F$6</definedName>
    <definedName name="IS_Tax_FY2026">'07_IS'!$B$23</definedName>
    <definedName name="IS_Tax_FY2027">'07_IS'!$C$23</definedName>
    <definedName name="IS_Tax_FY2028">'07_IS'!$D$23</definedName>
    <definedName name="IS_Tax_FY2029">'07_IS'!$E$23</definedName>
    <definedName name="IS_Tax_FY2030">'07_IS'!$F$23</definedName>
    <definedName name="Master_Audit_Status">'11_Sens_Checks'!$B$72</definedName>
    <definedName name="NetIncome_FY2026">'07_IS'!$B$24</definedName>
    <definedName name="NetIncome_FY2027">'07_IS'!$C$24</definedName>
    <definedName name="NetIncome_FY2028">'07_IS'!$D$24</definedName>
    <definedName name="NetIncome_FY2029">'07_IS'!$E$24</definedName>
    <definedName name="NetIncome_FY2030">'07_IS'!$F$24</definedName>
    <definedName name="NWC_FY2026">'05_WC_Capex'!$B$20</definedName>
    <definedName name="NWC_FY2027">'05_WC_Capex'!$C$20</definedName>
    <definedName name="NWC_FY2028">'05_WC_Capex'!$D$20</definedName>
    <definedName name="NWC_FY2029">'05_WC_Capex'!$E$20</definedName>
    <definedName name="NWC_FY2030">'05_WC_Capex'!$F$20</definedName>
    <definedName name="NWC_Opening_Q2FY26">'08_BS'!$B$22</definedName>
    <definedName name="OperatingIncome_FY2026">'04_Costs'!$B$28</definedName>
    <definedName name="OperatingIncome_FY2027">'04_Costs'!$C$28</definedName>
    <definedName name="OperatingIncome_FY2028">'04_Costs'!$D$28</definedName>
    <definedName name="OperatingIncome_FY2029">'04_Costs'!$E$28</definedName>
    <definedName name="OperatingIncome_FY2030">'04_Costs'!$F$28</definedName>
    <definedName name="Opex_GA_FY2026">'04_Costs'!$B$24</definedName>
    <definedName name="Opex_GA_FY2027">'04_Costs'!$C$24</definedName>
    <definedName name="Opex_GA_FY2028">'04_Costs'!$D$24</definedName>
    <definedName name="Opex_GA_FY2029">'04_Costs'!$E$24</definedName>
    <definedName name="Opex_GA_FY2030">'04_Costs'!$F$24</definedName>
    <definedName name="Opex_RD_FY2026">'04_Costs'!$B$20</definedName>
    <definedName name="Opex_RD_FY2027">'04_Costs'!$C$20</definedName>
    <definedName name="Opex_RD_FY2028">'04_Costs'!$D$20</definedName>
    <definedName name="Opex_RD_FY2029">'04_Costs'!$E$20</definedName>
    <definedName name="Opex_RD_FY2030">'04_Costs'!$F$20</definedName>
    <definedName name="Opex_SM_FY2026">'04_Costs'!$B$22</definedName>
    <definedName name="Opex_SM_FY2027">'04_Costs'!$C$22</definedName>
    <definedName name="Opex_SM_FY2028">'04_Costs'!$D$22</definedName>
    <definedName name="Opex_SM_FY2029">'04_Costs'!$E$22</definedName>
    <definedName name="Opex_SM_FY2030">'04_Costs'!$F$22</definedName>
    <definedName name="Opex_Total_FY2026">'04_Costs'!$B$26</definedName>
    <definedName name="Opex_Total_FY2027">'04_Costs'!$C$26</definedName>
    <definedName name="Opex_Total_FY2028">'04_Costs'!$D$26</definedName>
    <definedName name="Opex_Total_FY2029">'04_Costs'!$E$26</definedName>
    <definedName name="Opex_Total_FY2030">'04_Costs'!$F$26</definedName>
    <definedName name="OpSens_Dil_Base">'11_Sens_Checks'!$C$54</definedName>
    <definedName name="OpSens_Dil_DeltaHigh">'11_Sens_Checks'!$D$58</definedName>
    <definedName name="OpSens_Dil_DeltaLow">'11_Sens_Checks'!$B$58</definedName>
    <definedName name="OpSens_Dil_Down">'11_Sens_Checks'!$B$54</definedName>
    <definedName name="OpSens_Dil_Up">'11_Sens_Checks'!$D$54</definedName>
    <definedName name="OpSens_Margin_Base">'11_Sens_Checks'!$C$52</definedName>
    <definedName name="OpSens_Margin_DeltaHigh">'11_Sens_Checks'!$D$56</definedName>
    <definedName name="OpSens_Margin_DeltaLow">'11_Sens_Checks'!$B$56</definedName>
    <definedName name="OpSens_Margin_Down">'11_Sens_Checks'!$B$52</definedName>
    <definedName name="OpSens_Margin_Up">'11_Sens_Checks'!$D$52</definedName>
    <definedName name="OpSens_Rev_Base">'11_Sens_Checks'!$C$51</definedName>
    <definedName name="OpSens_Rev_DeltaHigh">'11_Sens_Checks'!$D$55</definedName>
    <definedName name="OpSens_Rev_DeltaLow">'11_Sens_Checks'!$B$55</definedName>
    <definedName name="OpSens_Rev_Down">'11_Sens_Checks'!$B$51</definedName>
    <definedName name="OpSens_Rev_Up">'11_Sens_Checks'!$D$51</definedName>
    <definedName name="OpSens_SBC_Base">'11_Sens_Checks'!$C$53</definedName>
    <definedName name="OpSens_SBC_DeltaHigh">'11_Sens_Checks'!$D$57</definedName>
    <definedName name="OpSens_SBC_DeltaLow">'11_Sens_Checks'!$B$57</definedName>
    <definedName name="OpSens_SBC_Down">'11_Sens_Checks'!$B$53</definedName>
    <definedName name="OpSens_SBC_Up">'11_Sens_Checks'!$D$53</definedName>
    <definedName name="OptionBasis_FY2026">'09_CF'!$B$11</definedName>
    <definedName name="OptionBasis_FY2027">'09_CF'!$C$11</definedName>
    <definedName name="OptionBasis_FY2028">'09_CF'!$D$11</definedName>
    <definedName name="OptionBasis_FY2029">'09_CF'!$E$11</definedName>
    <definedName name="OptionBasis_FY2030">'09_CF'!$F$11</definedName>
    <definedName name="OptionProceeds_FY2026">'06_SBC_Tax_Shares'!$B$12</definedName>
    <definedName name="OptionProceeds_FY2027">'06_SBC_Tax_Shares'!$C$12</definedName>
    <definedName name="OptionProceeds_FY2028">'06_SBC_Tax_Shares'!$D$12</definedName>
    <definedName name="OptionProceeds_FY2029">'06_SBC_Tax_Shares'!$E$12</definedName>
    <definedName name="OptionProceeds_FY2030">'06_SBC_Tax_Shares'!$F$12</definedName>
    <definedName name="OtherH2_FY2026">'07_IS'!$B$32</definedName>
    <definedName name="OtherIncome_FY2026">'04_Costs'!$B$30</definedName>
    <definedName name="OtherIncome_FY2027">'04_Costs'!$C$30</definedName>
    <definedName name="OtherIncome_FY2028">'04_Costs'!$D$30</definedName>
    <definedName name="OtherIncome_FY2029">'04_Costs'!$E$30</definedName>
    <definedName name="OtherIncome_FY2030">'04_Costs'!$F$30</definedName>
    <definedName name="PaidSubs_FY2026">'03_Revenue'!$B$7</definedName>
    <definedName name="PaidSubs_FY2027">'03_Revenue'!$C$7</definedName>
    <definedName name="PaidSubs_FY2028">'03_Revenue'!$D$7</definedName>
    <definedName name="PaidSubs_FY2029">'03_Revenue'!$E$7</definedName>
    <definedName name="PaidSubs_FY2030">'03_Revenue'!$F$7</definedName>
    <definedName name="PPENet_BOP_FY2026">'05_WC_Capex'!$B$34</definedName>
    <definedName name="PPENet_BOP_FY2027">'05_WC_Capex'!$C$34</definedName>
    <definedName name="PPENet_BOP_FY2028">'05_WC_Capex'!$D$34</definedName>
    <definedName name="PPENet_BOP_FY2029">'05_WC_Capex'!$E$34</definedName>
    <definedName name="PPENet_BOP_FY2030">'05_WC_Capex'!$F$34</definedName>
    <definedName name="PPENet_FY2026">'05_WC_Capex'!$B$37</definedName>
    <definedName name="PPENet_FY2027">'05_WC_Capex'!$C$37</definedName>
    <definedName name="PPENet_FY2028">'05_WC_Capex'!$D$37</definedName>
    <definedName name="PPENet_FY2029">'05_WC_Capex'!$E$37</definedName>
    <definedName name="PPENet_FY2030">'05_WC_Capex'!$F$37</definedName>
    <definedName name="Pretax_FY2026">'07_IS'!$B$22</definedName>
    <definedName name="Pretax_FY2027">'07_IS'!$C$22</definedName>
    <definedName name="Pretax_FY2028">'07_IS'!$D$22</definedName>
    <definedName name="Pretax_FY2029">'07_IS'!$E$22</definedName>
    <definedName name="Pretax_FY2030">'07_IS'!$F$22</definedName>
    <definedName name="PretaxIncome_FY2026">'06_SBC_Tax_Shares'!$B$21</definedName>
    <definedName name="PretaxIncome_FY2027">'06_SBC_Tax_Shares'!$C$21</definedName>
    <definedName name="PretaxIncome_FY2028">'06_SBC_Tax_Shares'!$D$21</definedName>
    <definedName name="PretaxIncome_FY2029">'06_SBC_Tax_Shares'!$E$21</definedName>
    <definedName name="PretaxIncome_FY2030">'06_SBC_Tax_Shares'!$F$21</definedName>
    <definedName name="_xlnm.Print_Titles" localSheetId="0">'00_Cover'!$1:$2</definedName>
    <definedName name="_xlnm.Print_Titles" localSheetId="1">'01_Assumptions'!$1:$4</definedName>
    <definedName name="_xlnm.Print_Titles" localSheetId="2">'02_Historicals'!$4:$4</definedName>
    <definedName name="_xlnm.Print_Titles" localSheetId="3">'03_Revenue'!$4:$4</definedName>
    <definedName name="_xlnm.Print_Titles" localSheetId="4">'04_Costs'!$4:$4</definedName>
    <definedName name="_xlnm.Print_Titles" localSheetId="5">'05_WC_Capex'!$4:$4</definedName>
    <definedName name="_xlnm.Print_Titles" localSheetId="6">'06_SBC_Tax_Shares'!$4:$4</definedName>
    <definedName name="_xlnm.Print_Titles" localSheetId="7">'07_IS'!$4:$4</definedName>
    <definedName name="_xlnm.Print_Titles" localSheetId="8">'08_BS'!$4:$4</definedName>
    <definedName name="_xlnm.Print_Titles" localSheetId="9">'09_CF'!$4:$4</definedName>
    <definedName name="_xlnm.Print_Titles" localSheetId="10">'10_DCF'!$4:$4</definedName>
    <definedName name="_xlnm.Print_Titles" localSheetId="11">'11_Sens_Checks'!$4:$4</definedName>
    <definedName name="RevAdv_FY2026">'03_Revenue'!$B$25</definedName>
    <definedName name="RevAdv_FY2027">'03_Revenue'!$C$25</definedName>
    <definedName name="RevAdv_FY2028">'03_Revenue'!$D$25</definedName>
    <definedName name="RevAdv_FY2029">'03_Revenue'!$E$25</definedName>
    <definedName name="RevAdv_FY2030">'03_Revenue'!$F$25</definedName>
    <definedName name="RevDET_FY2026">'03_Revenue'!$B$32</definedName>
    <definedName name="RevDET_FY2027">'03_Revenue'!$C$32</definedName>
    <definedName name="RevDET_FY2028">'03_Revenue'!$D$32</definedName>
    <definedName name="RevDET_FY2029">'03_Revenue'!$E$32</definedName>
    <definedName name="RevDET_FY2030">'03_Revenue'!$F$32</definedName>
    <definedName name="RevIAP_FY2026">'03_Revenue'!$B$39</definedName>
    <definedName name="RevIAP_FY2027">'03_Revenue'!$C$39</definedName>
    <definedName name="RevIAP_FY2028">'03_Revenue'!$D$39</definedName>
    <definedName name="RevIAP_FY2029">'03_Revenue'!$E$39</definedName>
    <definedName name="RevIAP_FY2030">'03_Revenue'!$F$39</definedName>
    <definedName name="RevOther_FY2026">'03_Revenue'!$B$46</definedName>
    <definedName name="RevOther_FY2027">'03_Revenue'!$C$46</definedName>
    <definedName name="RevOther_FY2028">'03_Revenue'!$D$46</definedName>
    <definedName name="RevOther_FY2029">'03_Revenue'!$E$46</definedName>
    <definedName name="RevOther_FY2030">'03_Revenue'!$F$46</definedName>
    <definedName name="RevSub_FY2026">'03_Revenue'!$B$18</definedName>
    <definedName name="RevSub_FY2027">'03_Revenue'!$C$18</definedName>
    <definedName name="RevSub_FY2028">'03_Revenue'!$D$18</definedName>
    <definedName name="RevSub_FY2029">'03_Revenue'!$E$18</definedName>
    <definedName name="RevSub_FY2030">'03_Revenue'!$F$18</definedName>
    <definedName name="RevTotal_FY2026">'03_Revenue'!$B$50</definedName>
    <definedName name="RevTotal_FY2027">'03_Revenue'!$C$50</definedName>
    <definedName name="RevTotal_FY2028">'03_Revenue'!$D$50</definedName>
    <definedName name="RevTotal_FY2029">'03_Revenue'!$E$50</definedName>
    <definedName name="RevTotal_FY2030">'03_Revenue'!$F$50</definedName>
    <definedName name="SBC_FY2026">'06_SBC_Tax_Shares'!$B$6</definedName>
    <definedName name="SBC_FY2027">'06_SBC_Tax_Shares'!$C$6</definedName>
    <definedName name="SBC_FY2028">'06_SBC_Tax_Shares'!$D$6</definedName>
    <definedName name="SBC_FY2029">'06_SBC_Tax_Shares'!$E$6</definedName>
    <definedName name="SBC_FY2030">'06_SBC_Tax_Shares'!$F$6</definedName>
    <definedName name="SBCBasis_FY2026">'09_CF'!$B$10</definedName>
    <definedName name="SBCBasis_FY2027">'09_CF'!$C$10</definedName>
    <definedName name="SBCBasis_FY2028">'09_CF'!$D$10</definedName>
    <definedName name="SBCBasis_FY2029">'09_CF'!$E$10</definedName>
    <definedName name="SBCBasis_FY2030">'09_CF'!$F$10</definedName>
    <definedName name="Scen_Base_Canon">'11_Sens_Checks'!$C$16</definedName>
    <definedName name="Scen_Base_Equity">'11_Sens_Checks'!$C$15</definedName>
    <definedName name="Scen_Base_EV">'11_Sens_Checks'!$C$13</definedName>
    <definedName name="Scen_Base_Finite">'11_Sens_Checks'!$C$17</definedName>
    <definedName name="Scen_Base_G">'11_Sens_Checks'!$C$12</definedName>
    <definedName name="Scen_Base_NetCash">'11_Sens_Checks'!$C$14</definedName>
    <definedName name="Scen_Base_OpInc26">'11_Sens_Checks'!$C$20</definedName>
    <definedName name="Scen_Base_Rev26">'11_Sens_Checks'!$C$19</definedName>
    <definedName name="Scen_Base_Spot">'11_Sens_Checks'!$C$18</definedName>
    <definedName name="Scen_Base_WACC">'11_Sens_Checks'!$C$11</definedName>
    <definedName name="Scen_Bear_Canon">'11_Sens_Checks'!$B$16</definedName>
    <definedName name="Scen_Bear_Equity">'11_Sens_Checks'!$B$15</definedName>
    <definedName name="Scen_Bear_EV">'11_Sens_Checks'!$B$13</definedName>
    <definedName name="Scen_Bear_Finite">'11_Sens_Checks'!$B$17</definedName>
    <definedName name="Scen_Bear_G">'11_Sens_Checks'!$B$12</definedName>
    <definedName name="Scen_Bear_NetCash">'11_Sens_Checks'!$B$14</definedName>
    <definedName name="Scen_Bear_OpInc26">'11_Sens_Checks'!$B$20</definedName>
    <definedName name="Scen_Bear_Rev26">'11_Sens_Checks'!$B$19</definedName>
    <definedName name="Scen_Bear_Spot">'11_Sens_Checks'!$B$18</definedName>
    <definedName name="Scen_Bear_WACC">'11_Sens_Checks'!$B$11</definedName>
    <definedName name="Scen_Bull_Canon">'11_Sens_Checks'!$D$16</definedName>
    <definedName name="Scen_Bull_Equity">'11_Sens_Checks'!$D$15</definedName>
    <definedName name="Scen_Bull_EV">'11_Sens_Checks'!$D$13</definedName>
    <definedName name="Scen_Bull_Finite">'11_Sens_Checks'!$D$17</definedName>
    <definedName name="Scen_Bull_G">'11_Sens_Checks'!$D$12</definedName>
    <definedName name="Scen_Bull_NetCash">'11_Sens_Checks'!$D$14</definedName>
    <definedName name="Scen_Bull_OpInc26">'11_Sens_Checks'!$D$20</definedName>
    <definedName name="Scen_Bull_Rev26">'11_Sens_Checks'!$D$19</definedName>
    <definedName name="Scen_Bull_Spot">'11_Sens_Checks'!$D$18</definedName>
    <definedName name="Scen_Bull_WACC">'11_Sens_Checks'!$D$11</definedName>
    <definedName name="Sens_Center">'11_Sens_Checks'!$F$33</definedName>
    <definedName name="Sens_G_1">'11_Sens_Checks'!$C$28</definedName>
    <definedName name="Sens_G_2">'11_Sens_Checks'!$D$28</definedName>
    <definedName name="Sens_G_3">'11_Sens_Checks'!$E$28</definedName>
    <definedName name="Sens_G_4">'11_Sens_Checks'!$F$28</definedName>
    <definedName name="Sens_G_5">'11_Sens_Checks'!$G$28</definedName>
    <definedName name="Sens_G_Headline">'11_Sens_Checks'!$B$7</definedName>
    <definedName name="Sens_Grid_R1C1">'11_Sens_Checks'!$C$29</definedName>
    <definedName name="Sens_Grid_R1C2">'11_Sens_Checks'!$D$29</definedName>
    <definedName name="Sens_Grid_R1C3">'11_Sens_Checks'!$E$29</definedName>
    <definedName name="Sens_Grid_R1C4">'11_Sens_Checks'!$F$29</definedName>
    <definedName name="Sens_Grid_R1C5">'11_Sens_Checks'!$G$29</definedName>
    <definedName name="Sens_Grid_R2C1">'11_Sens_Checks'!$C$30</definedName>
    <definedName name="Sens_Grid_R2C2">'11_Sens_Checks'!$D$30</definedName>
    <definedName name="Sens_Grid_R2C3">'11_Sens_Checks'!$E$30</definedName>
    <definedName name="Sens_Grid_R2C4">'11_Sens_Checks'!$F$30</definedName>
    <definedName name="Sens_Grid_R2C5">'11_Sens_Checks'!$G$30</definedName>
    <definedName name="Sens_Grid_R3C1">'11_Sens_Checks'!$C$31</definedName>
    <definedName name="Sens_Grid_R3C2">'11_Sens_Checks'!$D$31</definedName>
    <definedName name="Sens_Grid_R3C3">'11_Sens_Checks'!$E$31</definedName>
    <definedName name="Sens_Grid_R3C4">'11_Sens_Checks'!$F$31</definedName>
    <definedName name="Sens_Grid_R3C5">'11_Sens_Checks'!$G$31</definedName>
    <definedName name="Sens_Grid_R4C1">'11_Sens_Checks'!$C$32</definedName>
    <definedName name="Sens_Grid_R4C2">'11_Sens_Checks'!$D$32</definedName>
    <definedName name="Sens_Grid_R4C3">'11_Sens_Checks'!$E$32</definedName>
    <definedName name="Sens_Grid_R4C4">'11_Sens_Checks'!$F$32</definedName>
    <definedName name="Sens_Grid_R4C5">'11_Sens_Checks'!$G$32</definedName>
    <definedName name="Sens_Grid_R5C1">'11_Sens_Checks'!$C$33</definedName>
    <definedName name="Sens_Grid_R5C2">'11_Sens_Checks'!$D$33</definedName>
    <definedName name="Sens_Grid_R5C3">'11_Sens_Checks'!$E$33</definedName>
    <definedName name="Sens_Grid_R5C4">'11_Sens_Checks'!$F$33</definedName>
    <definedName name="Sens_Grid_R5C5">'11_Sens_Checks'!$G$33</definedName>
    <definedName name="Sens_Grid_R6C1">'11_Sens_Checks'!$C$34</definedName>
    <definedName name="Sens_Grid_R6C2">'11_Sens_Checks'!$D$34</definedName>
    <definedName name="Sens_Grid_R6C3">'11_Sens_Checks'!$E$34</definedName>
    <definedName name="Sens_Grid_R6C4">'11_Sens_Checks'!$F$34</definedName>
    <definedName name="Sens_Grid_R6C5">'11_Sens_Checks'!$G$34</definedName>
    <definedName name="Sens_Grid_R7C1">'11_Sens_Checks'!$C$35</definedName>
    <definedName name="Sens_Grid_R7C2">'11_Sens_Checks'!$D$35</definedName>
    <definedName name="Sens_Grid_R7C3">'11_Sens_Checks'!$E$35</definedName>
    <definedName name="Sens_Grid_R7C4">'11_Sens_Checks'!$F$35</definedName>
    <definedName name="Sens_Grid_R7C5">'11_Sens_Checks'!$G$35</definedName>
    <definedName name="Sens_Grid_R8C1">'11_Sens_Checks'!$C$36</definedName>
    <definedName name="Sens_Grid_R8C2">'11_Sens_Checks'!$D$36</definedName>
    <definedName name="Sens_Grid_R8C3">'11_Sens_Checks'!$E$36</definedName>
    <definedName name="Sens_Grid_R8C4">'11_Sens_Checks'!$F$36</definedName>
    <definedName name="Sens_Grid_R8C5">'11_Sens_Checks'!$G$36</definedName>
    <definedName name="Sens_Grid_R9C1">'11_Sens_Checks'!$C$37</definedName>
    <definedName name="Sens_Grid_R9C2">'11_Sens_Checks'!$D$37</definedName>
    <definedName name="Sens_Grid_R9C3">'11_Sens_Checks'!$E$37</definedName>
    <definedName name="Sens_Grid_R9C4">'11_Sens_Checks'!$F$37</definedName>
    <definedName name="Sens_Grid_R9C5">'11_Sens_Checks'!$G$37</definedName>
    <definedName name="Sens_Headline_Canonical">'11_Sens_Checks'!$B$8</definedName>
    <definedName name="Sens_WACC_1">'11_Sens_Checks'!$B$29</definedName>
    <definedName name="Sens_WACC_2">'11_Sens_Checks'!$B$30</definedName>
    <definedName name="Sens_WACC_3">'11_Sens_Checks'!$B$31</definedName>
    <definedName name="Sens_WACC_4">'11_Sens_Checks'!$B$32</definedName>
    <definedName name="Sens_WACC_5">'11_Sens_Checks'!$B$33</definedName>
    <definedName name="Sens_WACC_6">'11_Sens_Checks'!$B$34</definedName>
    <definedName name="Sens_WACC_7">'11_Sens_Checks'!$B$35</definedName>
    <definedName name="Sens_WACC_8">'11_Sens_Checks'!$B$36</definedName>
    <definedName name="Sens_WACC_9">'11_Sens_Checks'!$B$37</definedName>
    <definedName name="Sens_WACC_Headline">'11_Sens_Checks'!$B$6</definedName>
    <definedName name="SettlementBasis_FY2026">'09_CF'!$B$12</definedName>
    <definedName name="SettlementBasis_FY2027">'09_CF'!$C$12</definedName>
    <definedName name="SettlementBasis_FY2028">'09_CF'!$D$12</definedName>
    <definedName name="SettlementBasis_FY2029">'09_CF'!$E$12</definedName>
    <definedName name="SettlementBasis_FY2030">'09_CF'!$F$12</definedName>
    <definedName name="ShareRepurchases_FY2026">'06_SBC_Tax_Shares'!$B$14</definedName>
    <definedName name="ShareRepurchases_FY2027">'06_SBC_Tax_Shares'!$C$14</definedName>
    <definedName name="ShareRepurchases_FY2028">'06_SBC_Tax_Shares'!$D$14</definedName>
    <definedName name="ShareRepurchases_FY2029">'06_SBC_Tax_Shares'!$E$14</definedName>
    <definedName name="ShareRepurchases_FY2030">'06_SBC_Tax_Shares'!$F$14</definedName>
    <definedName name="SharesDiluted_FY2026">'06_SBC_Tax_Shares'!$B$11</definedName>
    <definedName name="SharesDiluted_FY2027">'06_SBC_Tax_Shares'!$C$11</definedName>
    <definedName name="SharesDiluted_FY2028">'06_SBC_Tax_Shares'!$D$11</definedName>
    <definedName name="SharesDiluted_FY2029">'06_SBC_Tax_Shares'!$E$11</definedName>
    <definedName name="SharesDiluted_FY2030">'06_SBC_Tax_Shares'!$F$11</definedName>
    <definedName name="SolvedH2_FY2026">'07_IS'!$B$45</definedName>
    <definedName name="Stage1_First">'01_Assumptions'!$C$58</definedName>
    <definedName name="Stage1_Label">'01_Assumptions'!$C$57</definedName>
    <definedName name="Stage1_Last">'01_Assumptions'!$C$59</definedName>
    <definedName name="Stage1_Last_Year">'01_Assumptions'!$C$60</definedName>
    <definedName name="Stage2_First">'01_Assumptions'!$C$62</definedName>
    <definedName name="Stage2_First_Year">'01_Assumptions'!$C$64</definedName>
    <definedName name="Stage2_Label">'01_Assumptions'!$C$61</definedName>
    <definedName name="Stage2_Last">'01_Assumptions'!$C$63</definedName>
    <definedName name="Stage3_Label">'01_Assumptions'!$C$65</definedName>
    <definedName name="TaxProv_FY2026">'06_SBC_Tax_Shares'!$B$22</definedName>
    <definedName name="TaxProv_FY2027">'06_SBC_Tax_Shares'!$C$22</definedName>
    <definedName name="TaxProv_FY2028">'06_SBC_Tax_Shares'!$D$22</definedName>
    <definedName name="TaxProv_FY2029">'06_SBC_Tax_Shares'!$E$22</definedName>
    <definedName name="TaxProv_FY2030">'06_SBC_Tax_Shares'!$F$22</definedName>
    <definedName name="TaxSettlement_FY2026">'06_SBC_Tax_Shares'!$B$13</definedName>
    <definedName name="TaxSettlement_FY2027">'06_SBC_Tax_Shares'!$C$13</definedName>
    <definedName name="TaxSettlement_FY2028">'06_SBC_Tax_Shares'!$D$13</definedName>
    <definedName name="TaxSettlement_FY2029">'06_SBC_Tax_Shares'!$E$13</definedName>
    <definedName name="TaxSettlement_FY2030">'06_SBC_Tax_Shares'!$F$13</definedName>
    <definedName name="Tolerance_PerShare">'01_Assumptions'!$C$70</definedName>
    <definedName name="Tolerance_USD">'01_Assumptions'!$C$69</definedName>
    <definedName name="WC_Accrued_FY2026">'05_WC_Capex'!$B$15</definedName>
    <definedName name="WC_Accrued_FY2027">'05_WC_Capex'!$C$15</definedName>
    <definedName name="WC_Accrued_FY2028">'05_WC_Capex'!$D$15</definedName>
    <definedName name="WC_Accrued_FY2029">'05_WC_Capex'!$E$15</definedName>
    <definedName name="WC_Accrued_FY2030">'05_WC_Capex'!$F$15</definedName>
    <definedName name="WC_AP_FY2026">'05_WC_Capex'!$B$14</definedName>
    <definedName name="WC_AP_FY2027">'05_WC_Capex'!$C$14</definedName>
    <definedName name="WC_AP_FY2028">'05_WC_Capex'!$D$14</definedName>
    <definedName name="WC_AP_FY2029">'05_WC_Capex'!$E$14</definedName>
    <definedName name="WC_AP_FY2030">'05_WC_Capex'!$F$14</definedName>
    <definedName name="WC_AR_FY2026">'05_WC_Capex'!$B$6</definedName>
    <definedName name="WC_AR_FY2027">'05_WC_Capex'!$C$6</definedName>
    <definedName name="WC_AR_FY2028">'05_WC_Capex'!$D$6</definedName>
    <definedName name="WC_AR_FY2029">'05_WC_Capex'!$E$6</definedName>
    <definedName name="WC_AR_FY2030">'05_WC_Capex'!$F$6</definedName>
    <definedName name="WC_DefCost_FY2026">'05_WC_Capex'!$B$7</definedName>
    <definedName name="WC_DefCost_FY2027">'05_WC_Capex'!$C$7</definedName>
    <definedName name="WC_DefCost_FY2028">'05_WC_Capex'!$D$7</definedName>
    <definedName name="WC_DefCost_FY2029">'05_WC_Capex'!$E$7</definedName>
    <definedName name="WC_DefCost_FY2030">'05_WC_Capex'!$F$7</definedName>
    <definedName name="WC_DR_FY2026">'05_WC_Capex'!$B$13</definedName>
    <definedName name="WC_DR_FY2027">'05_WC_Capex'!$C$13</definedName>
    <definedName name="WC_DR_FY2028">'05_WC_Capex'!$D$13</definedName>
    <definedName name="WC_DR_FY2029">'05_WC_Capex'!$E$13</definedName>
    <definedName name="WC_DR_FY2030">'05_WC_Capex'!$F$13</definedName>
    <definedName name="WC_Prepaid_FY2026">'05_WC_Capex'!$B$8</definedName>
    <definedName name="WC_Prepaid_FY2027">'05_WC_Capex'!$C$8</definedName>
    <definedName name="WC_Prepaid_FY2028">'05_WC_Capex'!$D$8</definedName>
    <definedName name="WC_Prepaid_FY2029">'05_WC_Capex'!$E$8</definedName>
    <definedName name="WC_Prepaid_FY2030">'05_WC_Capex'!$F$8</definedName>
    <definedName name="WC_TaxPay_FY2026">'05_WC_Capex'!$B$16</definedName>
    <definedName name="WC_TaxPay_FY2027">'05_WC_Capex'!$C$16</definedName>
    <definedName name="WC_TaxPay_FY2028">'05_WC_Capex'!$D$16</definedName>
    <definedName name="WC_TaxPay_FY2029">'05_WC_Capex'!$E$16</definedName>
    <definedName name="WC_TaxPay_FY2030">'05_WC_Capex'!$F$16</definedName>
    <definedName name="WC_TaxRec_FY2026">'05_WC_Capex'!$B$9</definedName>
    <definedName name="WC_TaxRec_FY2027">'05_WC_Capex'!$C$9</definedName>
    <definedName name="WC_TaxRec_FY2028">'05_WC_Capex'!$D$9</definedName>
    <definedName name="WC_TaxRec_FY2029">'05_WC_Capex'!$E$9</definedName>
    <definedName name="WC_TaxRec_FY2030">'05_WC_Capex'!$F$9</definedName>
    <definedName name="WC_TotalAssets_FY2026">'05_WC_Capex'!$B$10</definedName>
    <definedName name="WC_TotalAssets_FY2027">'05_WC_Capex'!$C$10</definedName>
    <definedName name="WC_TotalAssets_FY2028">'05_WC_Capex'!$D$10</definedName>
    <definedName name="WC_TotalAssets_FY2029">'05_WC_Capex'!$E$10</definedName>
    <definedName name="WC_TotalAssets_FY2030">'05_WC_Capex'!$F$10</definedName>
    <definedName name="WC_TotalLiab_FY2026">'05_WC_Capex'!$B$17</definedName>
    <definedName name="WC_TotalLiab_FY2027">'05_WC_Capex'!$C$17</definedName>
    <definedName name="WC_TotalLiab_FY2028">'05_WC_Capex'!$D$17</definedName>
    <definedName name="WC_TotalLiab_FY2029">'05_WC_Capex'!$E$17</definedName>
    <definedName name="WC_TotalLiab_FY2030">'05_WC_Capex'!$F$17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 i="12" l="1"/>
  <c r="B110" i="12"/>
  <c r="B70" i="12"/>
  <c r="B69" i="12"/>
  <c r="B68" i="12"/>
  <c r="B67" i="12"/>
  <c r="B66" i="12"/>
  <c r="B112" i="12" s="1"/>
  <c r="B65" i="12"/>
  <c r="B64" i="12"/>
  <c r="B63" i="12"/>
  <c r="D58" i="12"/>
  <c r="B58" i="12"/>
  <c r="D57" i="12"/>
  <c r="B57" i="12"/>
  <c r="D56" i="12"/>
  <c r="B56" i="12"/>
  <c r="D55" i="12"/>
  <c r="B55" i="12"/>
  <c r="B48" i="12"/>
  <c r="B43" i="12"/>
  <c r="B42" i="12"/>
  <c r="B41" i="12"/>
  <c r="B40" i="12"/>
  <c r="G37" i="12"/>
  <c r="B46" i="12" s="1"/>
  <c r="F37" i="12"/>
  <c r="E37" i="12"/>
  <c r="D37" i="12"/>
  <c r="C37" i="12"/>
  <c r="G36" i="12"/>
  <c r="F36" i="12"/>
  <c r="E36" i="12"/>
  <c r="D36" i="12"/>
  <c r="C36" i="12"/>
  <c r="G35" i="12"/>
  <c r="F35" i="12"/>
  <c r="E35" i="12"/>
  <c r="D35" i="12"/>
  <c r="C35" i="12"/>
  <c r="G34" i="12"/>
  <c r="F34" i="12"/>
  <c r="E34" i="12"/>
  <c r="D34" i="12"/>
  <c r="C34" i="12"/>
  <c r="G33" i="12"/>
  <c r="F33" i="12"/>
  <c r="B44" i="12" s="1"/>
  <c r="B109" i="12" s="1"/>
  <c r="E33" i="12"/>
  <c r="D33" i="12"/>
  <c r="C33" i="12"/>
  <c r="G32" i="12"/>
  <c r="F32" i="12"/>
  <c r="E32" i="12"/>
  <c r="D32" i="12"/>
  <c r="C32" i="12"/>
  <c r="G31" i="12"/>
  <c r="F31" i="12"/>
  <c r="E31" i="12"/>
  <c r="D31" i="12"/>
  <c r="C31" i="12"/>
  <c r="G30" i="12"/>
  <c r="F30" i="12"/>
  <c r="E30" i="12"/>
  <c r="D30" i="12"/>
  <c r="C30" i="12"/>
  <c r="G29" i="12"/>
  <c r="F29" i="12"/>
  <c r="E29" i="12"/>
  <c r="D29" i="12"/>
  <c r="C29" i="12"/>
  <c r="B45" i="12" s="1"/>
  <c r="D26" i="12"/>
  <c r="C26" i="12"/>
  <c r="B26" i="12"/>
  <c r="B25" i="12"/>
  <c r="B24" i="12"/>
  <c r="B23" i="12"/>
  <c r="B22" i="12"/>
  <c r="B8" i="12"/>
  <c r="B7" i="12"/>
  <c r="B6" i="12"/>
  <c r="B39" i="12" s="1"/>
  <c r="B137" i="11"/>
  <c r="B130" i="11"/>
  <c r="K127" i="11"/>
  <c r="J127" i="11"/>
  <c r="I127" i="11"/>
  <c r="B87" i="11"/>
  <c r="B136" i="11" s="1"/>
  <c r="B86" i="11"/>
  <c r="B84" i="11"/>
  <c r="B138" i="11" s="1"/>
  <c r="B77" i="11"/>
  <c r="B76" i="11"/>
  <c r="B73" i="11"/>
  <c r="B75" i="11" s="1"/>
  <c r="B62" i="11"/>
  <c r="B59" i="11"/>
  <c r="B64" i="11" s="1"/>
  <c r="B65" i="11" s="1"/>
  <c r="B66" i="11" s="1"/>
  <c r="K49" i="11"/>
  <c r="K125" i="11" s="1"/>
  <c r="K48" i="11"/>
  <c r="J48" i="11"/>
  <c r="J51" i="11" s="1"/>
  <c r="I48" i="11"/>
  <c r="I51" i="11" s="1"/>
  <c r="I47" i="11"/>
  <c r="H47" i="11"/>
  <c r="G47" i="11"/>
  <c r="F47" i="11"/>
  <c r="E47" i="11"/>
  <c r="B47" i="11"/>
  <c r="K46" i="11"/>
  <c r="K47" i="11" s="1"/>
  <c r="J46" i="11"/>
  <c r="J47" i="11" s="1"/>
  <c r="I46" i="11"/>
  <c r="H46" i="11"/>
  <c r="H127" i="11" s="1"/>
  <c r="G46" i="11"/>
  <c r="G127" i="11" s="1"/>
  <c r="F46" i="11"/>
  <c r="F127" i="11" s="1"/>
  <c r="E46" i="11"/>
  <c r="E127" i="11" s="1"/>
  <c r="D46" i="11"/>
  <c r="C46" i="11"/>
  <c r="B46" i="11"/>
  <c r="B127" i="11" s="1"/>
  <c r="B38" i="11"/>
  <c r="J36" i="11"/>
  <c r="J49" i="11" s="1"/>
  <c r="I36" i="11"/>
  <c r="I49" i="11" s="1"/>
  <c r="H36" i="11"/>
  <c r="H49" i="11" s="1"/>
  <c r="G36" i="11"/>
  <c r="G49" i="11" s="1"/>
  <c r="G125" i="11" s="1"/>
  <c r="K35" i="11"/>
  <c r="K36" i="11" s="1"/>
  <c r="J35" i="11"/>
  <c r="I35" i="11"/>
  <c r="H35" i="11"/>
  <c r="G35" i="11"/>
  <c r="B26" i="11"/>
  <c r="B63" i="11" s="1"/>
  <c r="B25" i="11"/>
  <c r="B24" i="11"/>
  <c r="B23" i="11"/>
  <c r="B100" i="12" s="1"/>
  <c r="B22" i="11"/>
  <c r="B21" i="11"/>
  <c r="B11" i="11"/>
  <c r="K10" i="11"/>
  <c r="I10" i="11"/>
  <c r="G10" i="11"/>
  <c r="F9" i="11"/>
  <c r="C8" i="11"/>
  <c r="B7" i="11"/>
  <c r="B12" i="11" s="1"/>
  <c r="K6" i="11"/>
  <c r="J6" i="11"/>
  <c r="J10" i="11" s="1"/>
  <c r="I6" i="11"/>
  <c r="H6" i="11"/>
  <c r="H10" i="11" s="1"/>
  <c r="G6" i="11"/>
  <c r="F6" i="11"/>
  <c r="E6" i="11"/>
  <c r="E9" i="11" s="1"/>
  <c r="D6" i="11"/>
  <c r="D8" i="11" s="1"/>
  <c r="C6" i="11"/>
  <c r="B6" i="11"/>
  <c r="B8" i="11" s="1"/>
  <c r="B53" i="10"/>
  <c r="B45" i="10"/>
  <c r="E39" i="10"/>
  <c r="D39" i="10"/>
  <c r="B39" i="10"/>
  <c r="C37" i="10"/>
  <c r="F13" i="10"/>
  <c r="F39" i="10" s="1"/>
  <c r="B13" i="10"/>
  <c r="D11" i="10"/>
  <c r="D37" i="10" s="1"/>
  <c r="F63" i="9"/>
  <c r="E63" i="9"/>
  <c r="D63" i="9"/>
  <c r="C63" i="9"/>
  <c r="B63" i="9"/>
  <c r="F60" i="9"/>
  <c r="E60" i="9"/>
  <c r="D60" i="9"/>
  <c r="C60" i="9"/>
  <c r="B60" i="9"/>
  <c r="F55" i="9"/>
  <c r="E55" i="9"/>
  <c r="D55" i="9"/>
  <c r="D56" i="9" s="1"/>
  <c r="C55" i="9"/>
  <c r="C56" i="9" s="1"/>
  <c r="B55" i="9"/>
  <c r="B56" i="9" s="1"/>
  <c r="F54" i="9"/>
  <c r="F56" i="9" s="1"/>
  <c r="E54" i="9"/>
  <c r="E56" i="9" s="1"/>
  <c r="D54" i="9"/>
  <c r="C54" i="9"/>
  <c r="B54" i="9"/>
  <c r="F42" i="9"/>
  <c r="E42" i="9"/>
  <c r="D42" i="9"/>
  <c r="C42" i="9"/>
  <c r="B42" i="9"/>
  <c r="F41" i="9"/>
  <c r="E41" i="9"/>
  <c r="D41" i="9"/>
  <c r="C41" i="9"/>
  <c r="B41" i="9"/>
  <c r="F40" i="9"/>
  <c r="E40" i="9"/>
  <c r="D40" i="9"/>
  <c r="C40" i="9"/>
  <c r="B40" i="9"/>
  <c r="F39" i="9"/>
  <c r="E39" i="9"/>
  <c r="D39" i="9"/>
  <c r="C39" i="9"/>
  <c r="B39" i="9"/>
  <c r="F36" i="9"/>
  <c r="E36" i="9"/>
  <c r="D36" i="9"/>
  <c r="C36" i="9"/>
  <c r="B36" i="9"/>
  <c r="F35" i="9"/>
  <c r="E35" i="9"/>
  <c r="D35" i="9"/>
  <c r="C35" i="9"/>
  <c r="B35" i="9"/>
  <c r="F27" i="9"/>
  <c r="E27" i="9"/>
  <c r="D27" i="9"/>
  <c r="C27" i="9"/>
  <c r="B27" i="9"/>
  <c r="F44" i="8"/>
  <c r="E44" i="8"/>
  <c r="D44" i="8"/>
  <c r="C44" i="8"/>
  <c r="B44" i="8"/>
  <c r="B28" i="8"/>
  <c r="B42" i="8" s="1"/>
  <c r="F14" i="7"/>
  <c r="E14" i="7"/>
  <c r="E13" i="10" s="1"/>
  <c r="D14" i="7"/>
  <c r="D13" i="10" s="1"/>
  <c r="C14" i="7"/>
  <c r="C13" i="10" s="1"/>
  <c r="C39" i="10" s="1"/>
  <c r="B14" i="7"/>
  <c r="F13" i="7"/>
  <c r="F12" i="10" s="1"/>
  <c r="F38" i="10" s="1"/>
  <c r="E13" i="7"/>
  <c r="E12" i="10" s="1"/>
  <c r="E38" i="10" s="1"/>
  <c r="D13" i="7"/>
  <c r="D12" i="10" s="1"/>
  <c r="C13" i="7"/>
  <c r="C12" i="10" s="1"/>
  <c r="C38" i="10" s="1"/>
  <c r="B13" i="7"/>
  <c r="B12" i="10" s="1"/>
  <c r="B38" i="10" s="1"/>
  <c r="F12" i="7"/>
  <c r="F11" i="10" s="1"/>
  <c r="E12" i="7"/>
  <c r="E11" i="10" s="1"/>
  <c r="D12" i="7"/>
  <c r="C12" i="7"/>
  <c r="C11" i="10" s="1"/>
  <c r="B12" i="7"/>
  <c r="B11" i="10" s="1"/>
  <c r="B37" i="10" s="1"/>
  <c r="B40" i="10" s="1"/>
  <c r="B41" i="10" s="1"/>
  <c r="F11" i="7"/>
  <c r="E11" i="7"/>
  <c r="D11" i="7"/>
  <c r="C11" i="7"/>
  <c r="B11" i="7"/>
  <c r="B54" i="4"/>
  <c r="B61" i="4" s="1"/>
  <c r="B46" i="4"/>
  <c r="B48" i="4" s="1"/>
  <c r="B41" i="4"/>
  <c r="B39" i="4"/>
  <c r="C39" i="4" s="1"/>
  <c r="B34" i="4"/>
  <c r="B32" i="4"/>
  <c r="C32" i="4" s="1"/>
  <c r="B25" i="4"/>
  <c r="B18" i="4"/>
  <c r="B50" i="4" s="1"/>
  <c r="F12" i="4"/>
  <c r="E12" i="4"/>
  <c r="D12" i="4"/>
  <c r="C12" i="4"/>
  <c r="B12" i="4"/>
  <c r="F11" i="4"/>
  <c r="E11" i="4"/>
  <c r="D11" i="4"/>
  <c r="C11" i="4"/>
  <c r="B11" i="4"/>
  <c r="D10" i="4"/>
  <c r="C10" i="4"/>
  <c r="D8" i="4"/>
  <c r="C8" i="4"/>
  <c r="B8" i="4"/>
  <c r="D7" i="4"/>
  <c r="E7" i="4" s="1"/>
  <c r="E6" i="4"/>
  <c r="D6" i="4"/>
  <c r="D9" i="4" s="1"/>
  <c r="C6" i="4"/>
  <c r="C9" i="4" s="1"/>
  <c r="B6" i="4"/>
  <c r="B10" i="4" s="1"/>
  <c r="H88" i="3"/>
  <c r="F88" i="3"/>
  <c r="B77" i="12" s="1"/>
  <c r="E88" i="3"/>
  <c r="D88" i="3"/>
  <c r="C88" i="3"/>
  <c r="B88" i="3"/>
  <c r="K87" i="3"/>
  <c r="F87" i="3"/>
  <c r="B76" i="12" s="1"/>
  <c r="E87" i="3"/>
  <c r="D87" i="3"/>
  <c r="C87" i="3"/>
  <c r="B87" i="3"/>
  <c r="B83" i="3"/>
  <c r="G81" i="3"/>
  <c r="G83" i="3" s="1"/>
  <c r="F81" i="3"/>
  <c r="F83" i="3" s="1"/>
  <c r="B79" i="12" s="1"/>
  <c r="E81" i="3"/>
  <c r="E83" i="3" s="1"/>
  <c r="D81" i="3"/>
  <c r="C81" i="3"/>
  <c r="C83" i="3" s="1"/>
  <c r="B81" i="3"/>
  <c r="B84" i="3" s="1"/>
  <c r="H23" i="3"/>
  <c r="B30" i="1"/>
  <c r="B32" i="1" s="1"/>
  <c r="B23" i="1"/>
  <c r="B7" i="1"/>
  <c r="B9" i="1" s="1"/>
  <c r="I50" i="11" l="1"/>
  <c r="I128" i="11" s="1"/>
  <c r="I125" i="11"/>
  <c r="B15" i="6"/>
  <c r="B49" i="9" s="1"/>
  <c r="B24" i="5"/>
  <c r="B8" i="6"/>
  <c r="B30" i="9" s="1"/>
  <c r="B6" i="8"/>
  <c r="B23" i="6"/>
  <c r="B7" i="6"/>
  <c r="B29" i="9" s="1"/>
  <c r="B30" i="5"/>
  <c r="B20" i="8" s="1"/>
  <c r="B32" i="8" s="1"/>
  <c r="B16" i="5"/>
  <c r="B14" i="5"/>
  <c r="B63" i="4"/>
  <c r="B6" i="7"/>
  <c r="B24" i="6"/>
  <c r="B9" i="6"/>
  <c r="B31" i="9" s="1"/>
  <c r="B30" i="6"/>
  <c r="B51" i="4"/>
  <c r="B6" i="6"/>
  <c r="B20" i="5"/>
  <c r="B16" i="6"/>
  <c r="B50" i="9" s="1"/>
  <c r="B29" i="6"/>
  <c r="B66" i="4"/>
  <c r="B81" i="12" s="1"/>
  <c r="B22" i="5"/>
  <c r="J50" i="11"/>
  <c r="J128" i="11" s="1"/>
  <c r="J125" i="11"/>
  <c r="B79" i="11"/>
  <c r="B133" i="11"/>
  <c r="E8" i="4"/>
  <c r="E9" i="4"/>
  <c r="F6" i="4"/>
  <c r="E10" i="4"/>
  <c r="F7" i="4"/>
  <c r="D38" i="10"/>
  <c r="D39" i="8"/>
  <c r="B27" i="4"/>
  <c r="C25" i="4"/>
  <c r="C84" i="3"/>
  <c r="C34" i="4"/>
  <c r="D32" i="4"/>
  <c r="C39" i="8"/>
  <c r="D39" i="4"/>
  <c r="C41" i="4"/>
  <c r="C18" i="4"/>
  <c r="I126" i="11"/>
  <c r="E84" i="3"/>
  <c r="B9" i="4"/>
  <c r="D83" i="3"/>
  <c r="D84" i="3" s="1"/>
  <c r="B20" i="4"/>
  <c r="C46" i="4"/>
  <c r="C47" i="11"/>
  <c r="C127" i="11"/>
  <c r="B67" i="11"/>
  <c r="B68" i="11" s="1"/>
  <c r="K51" i="11"/>
  <c r="J126" i="11"/>
  <c r="F48" i="11"/>
  <c r="E48" i="11"/>
  <c r="D48" i="11"/>
  <c r="C48" i="11"/>
  <c r="B48" i="11"/>
  <c r="B28" i="11"/>
  <c r="B102" i="12" s="1"/>
  <c r="B27" i="11"/>
  <c r="B101" i="12" s="1"/>
  <c r="D47" i="11"/>
  <c r="D127" i="11"/>
  <c r="K50" i="11"/>
  <c r="K128" i="11" s="1"/>
  <c r="C41" i="10"/>
  <c r="F84" i="3"/>
  <c r="B78" i="12" s="1"/>
  <c r="G84" i="3"/>
  <c r="E37" i="10"/>
  <c r="E41" i="10" s="1"/>
  <c r="E39" i="8"/>
  <c r="F37" i="10"/>
  <c r="F41" i="10" s="1"/>
  <c r="F39" i="8"/>
  <c r="B62" i="12"/>
  <c r="B61" i="12"/>
  <c r="B60" i="12"/>
  <c r="B59" i="12"/>
  <c r="B21" i="12"/>
  <c r="B47" i="12"/>
  <c r="D41" i="10"/>
  <c r="G48" i="11"/>
  <c r="G50" i="11"/>
  <c r="K126" i="11"/>
  <c r="B39" i="8"/>
  <c r="H48" i="11"/>
  <c r="H125" i="11"/>
  <c r="B38" i="12"/>
  <c r="B71" i="11" l="1"/>
  <c r="B131" i="11"/>
  <c r="B42" i="5"/>
  <c r="B82" i="12" s="1"/>
  <c r="B44" i="5"/>
  <c r="B35" i="6"/>
  <c r="B6" i="10"/>
  <c r="B25" i="6"/>
  <c r="B26" i="6" s="1"/>
  <c r="F9" i="4"/>
  <c r="F10" i="4"/>
  <c r="D46" i="4"/>
  <c r="C48" i="4"/>
  <c r="B126" i="11"/>
  <c r="B51" i="11"/>
  <c r="E32" i="4"/>
  <c r="D34" i="4"/>
  <c r="B42" i="6"/>
  <c r="B9" i="10"/>
  <c r="G128" i="11"/>
  <c r="B54" i="11"/>
  <c r="G51" i="11"/>
  <c r="G126" i="11"/>
  <c r="F8" i="4"/>
  <c r="B28" i="9"/>
  <c r="B10" i="6"/>
  <c r="C126" i="11"/>
  <c r="C51" i="11"/>
  <c r="B17" i="5"/>
  <c r="H51" i="11"/>
  <c r="H126" i="11"/>
  <c r="H50" i="11"/>
  <c r="H128" i="11" s="1"/>
  <c r="D126" i="11"/>
  <c r="D51" i="11"/>
  <c r="B82" i="11"/>
  <c r="B75" i="12"/>
  <c r="B134" i="11"/>
  <c r="B7" i="10"/>
  <c r="B41" i="6"/>
  <c r="B43" i="6" s="1"/>
  <c r="B14" i="8"/>
  <c r="B25" i="5"/>
  <c r="B31" i="6"/>
  <c r="B36" i="6"/>
  <c r="B8" i="10"/>
  <c r="C27" i="4"/>
  <c r="D25" i="4"/>
  <c r="E39" i="4"/>
  <c r="D41" i="4"/>
  <c r="B26" i="5"/>
  <c r="B27" i="5" s="1"/>
  <c r="B12" i="8"/>
  <c r="B21" i="5"/>
  <c r="E126" i="11"/>
  <c r="E51" i="11"/>
  <c r="F126" i="11"/>
  <c r="F51" i="11"/>
  <c r="B28" i="7"/>
  <c r="B34" i="5"/>
  <c r="B7" i="7"/>
  <c r="B27" i="7"/>
  <c r="B88" i="12" s="1"/>
  <c r="B10" i="10"/>
  <c r="B13" i="8"/>
  <c r="B23" i="5"/>
  <c r="C59" i="4"/>
  <c r="B55" i="4"/>
  <c r="B56" i="4" s="1"/>
  <c r="B60" i="4" s="1"/>
  <c r="B62" i="4" s="1"/>
  <c r="B65" i="4" s="1"/>
  <c r="B80" i="12" s="1"/>
  <c r="B13" i="6"/>
  <c r="D18" i="4"/>
  <c r="C20" i="4"/>
  <c r="C50" i="4"/>
  <c r="C54" i="4"/>
  <c r="B14" i="6"/>
  <c r="B48" i="9" s="1"/>
  <c r="B7" i="8"/>
  <c r="B8" i="8" s="1"/>
  <c r="B15" i="5"/>
  <c r="B52" i="8" l="1"/>
  <c r="B9" i="8"/>
  <c r="B39" i="5"/>
  <c r="B38" i="5"/>
  <c r="B35" i="5"/>
  <c r="B37" i="5"/>
  <c r="B36" i="5"/>
  <c r="B34" i="8"/>
  <c r="B24" i="10"/>
  <c r="E41" i="4"/>
  <c r="F39" i="4"/>
  <c r="F41" i="4" s="1"/>
  <c r="D27" i="4"/>
  <c r="E25" i="4"/>
  <c r="C61" i="4"/>
  <c r="C8" i="6"/>
  <c r="C30" i="9" s="1"/>
  <c r="C6" i="8"/>
  <c r="C30" i="6"/>
  <c r="C7" i="6"/>
  <c r="C29" i="9" s="1"/>
  <c r="C30" i="5"/>
  <c r="C20" i="8" s="1"/>
  <c r="C32" i="8" s="1"/>
  <c r="C6" i="7"/>
  <c r="C16" i="6"/>
  <c r="C50" i="9" s="1"/>
  <c r="C63" i="4"/>
  <c r="C24" i="6"/>
  <c r="C9" i="6"/>
  <c r="C31" i="9" s="1"/>
  <c r="C29" i="6"/>
  <c r="C51" i="4"/>
  <c r="C66" i="4"/>
  <c r="C20" i="5"/>
  <c r="C6" i="6"/>
  <c r="C23" i="6"/>
  <c r="C15" i="6"/>
  <c r="C49" i="9" s="1"/>
  <c r="C24" i="5"/>
  <c r="C14" i="5"/>
  <c r="C22" i="5"/>
  <c r="B31" i="10"/>
  <c r="B38" i="8"/>
  <c r="B37" i="9"/>
  <c r="D54" i="4"/>
  <c r="D20" i="4"/>
  <c r="D50" i="4"/>
  <c r="E18" i="4"/>
  <c r="B37" i="6"/>
  <c r="B61" i="9"/>
  <c r="B25" i="10"/>
  <c r="B35" i="8"/>
  <c r="E46" i="4"/>
  <c r="D48" i="4"/>
  <c r="B17" i="6"/>
  <c r="B47" i="6" s="1"/>
  <c r="B85" i="12" s="1"/>
  <c r="B47" i="9"/>
  <c r="B51" i="9" s="1"/>
  <c r="B57" i="9" s="1"/>
  <c r="B49" i="6"/>
  <c r="B87" i="12" s="1"/>
  <c r="C40" i="6"/>
  <c r="E34" i="4"/>
  <c r="F32" i="4"/>
  <c r="F34" i="4" s="1"/>
  <c r="B28" i="5"/>
  <c r="B15" i="8"/>
  <c r="B53" i="8" s="1"/>
  <c r="B38" i="9"/>
  <c r="B32" i="10"/>
  <c r="B46" i="6"/>
  <c r="B84" i="12" s="1"/>
  <c r="B20" i="6"/>
  <c r="C7" i="8" l="1"/>
  <c r="C8" i="8" s="1"/>
  <c r="C15" i="5"/>
  <c r="C14" i="6"/>
  <c r="C48" i="9" s="1"/>
  <c r="C35" i="6"/>
  <c r="C6" i="10"/>
  <c r="C25" i="6"/>
  <c r="C26" i="6" s="1"/>
  <c r="D59" i="4"/>
  <c r="C55" i="4"/>
  <c r="C56" i="4" s="1"/>
  <c r="C60" i="4" s="1"/>
  <c r="C62" i="4" s="1"/>
  <c r="C65" i="4" s="1"/>
  <c r="C13" i="6"/>
  <c r="B43" i="5"/>
  <c r="B83" i="12" s="1"/>
  <c r="B45" i="5"/>
  <c r="B29" i="5"/>
  <c r="C34" i="5"/>
  <c r="C7" i="7"/>
  <c r="C27" i="7"/>
  <c r="C28" i="7"/>
  <c r="C10" i="10"/>
  <c r="D6" i="8"/>
  <c r="D30" i="6"/>
  <c r="D23" i="6"/>
  <c r="D14" i="5"/>
  <c r="D6" i="7"/>
  <c r="D16" i="6"/>
  <c r="D50" i="9" s="1"/>
  <c r="D29" i="6"/>
  <c r="D9" i="6"/>
  <c r="D31" i="9" s="1"/>
  <c r="D20" i="5"/>
  <c r="D51" i="4"/>
  <c r="D6" i="6"/>
  <c r="D15" i="6"/>
  <c r="D49" i="9" s="1"/>
  <c r="D24" i="5"/>
  <c r="D66" i="4"/>
  <c r="D7" i="6"/>
  <c r="D29" i="9" s="1"/>
  <c r="D22" i="5"/>
  <c r="D8" i="6"/>
  <c r="D30" i="9" s="1"/>
  <c r="D30" i="5"/>
  <c r="D20" i="8" s="1"/>
  <c r="D32" i="8" s="1"/>
  <c r="D24" i="6"/>
  <c r="D63" i="4"/>
  <c r="B72" i="9"/>
  <c r="B43" i="9"/>
  <c r="C25" i="5"/>
  <c r="C14" i="8"/>
  <c r="C10" i="6"/>
  <c r="C28" i="9"/>
  <c r="D61" i="4"/>
  <c r="C21" i="5"/>
  <c r="C12" i="8"/>
  <c r="C26" i="5"/>
  <c r="C27" i="5" s="1"/>
  <c r="C42" i="6"/>
  <c r="C9" i="10"/>
  <c r="B36" i="8"/>
  <c r="B26" i="10"/>
  <c r="C61" i="9"/>
  <c r="B48" i="6"/>
  <c r="B86" i="12" s="1"/>
  <c r="C34" i="6"/>
  <c r="B33" i="10"/>
  <c r="B34" i="10" s="1"/>
  <c r="B33" i="11" s="1"/>
  <c r="E20" i="4"/>
  <c r="F18" i="4"/>
  <c r="E54" i="4"/>
  <c r="E50" i="4"/>
  <c r="E48" i="4"/>
  <c r="F46" i="4"/>
  <c r="F48" i="4" s="1"/>
  <c r="C8" i="10"/>
  <c r="C37" i="9" s="1"/>
  <c r="C31" i="6"/>
  <c r="C36" i="6"/>
  <c r="B16" i="8"/>
  <c r="F25" i="4"/>
  <c r="F27" i="4" s="1"/>
  <c r="E27" i="4"/>
  <c r="C13" i="8"/>
  <c r="C23" i="5"/>
  <c r="C16" i="5"/>
  <c r="C7" i="10"/>
  <c r="C32" i="10" s="1"/>
  <c r="C41" i="6"/>
  <c r="C43" i="6" s="1"/>
  <c r="C49" i="6" l="1"/>
  <c r="D40" i="6"/>
  <c r="C52" i="8"/>
  <c r="C9" i="8"/>
  <c r="D8" i="10"/>
  <c r="D36" i="6"/>
  <c r="D31" i="6"/>
  <c r="C42" i="5"/>
  <c r="C28" i="5"/>
  <c r="C44" i="5"/>
  <c r="C17" i="5"/>
  <c r="D14" i="6"/>
  <c r="D48" i="9" s="1"/>
  <c r="D7" i="8"/>
  <c r="D8" i="8" s="1"/>
  <c r="D15" i="5"/>
  <c r="D10" i="6"/>
  <c r="D28" i="9"/>
  <c r="C46" i="6"/>
  <c r="C20" i="6"/>
  <c r="C34" i="8"/>
  <c r="C24" i="10"/>
  <c r="D7" i="7"/>
  <c r="D34" i="5"/>
  <c r="D28" i="7"/>
  <c r="D10" i="10"/>
  <c r="D61" i="9" s="1"/>
  <c r="D27" i="7"/>
  <c r="C17" i="6"/>
  <c r="C47" i="6" s="1"/>
  <c r="C47" i="9"/>
  <c r="C51" i="9" s="1"/>
  <c r="C57" i="9" s="1"/>
  <c r="D16" i="5"/>
  <c r="F20" i="4"/>
  <c r="F54" i="4"/>
  <c r="F50" i="4"/>
  <c r="C25" i="10"/>
  <c r="C35" i="8"/>
  <c r="C38" i="9"/>
  <c r="C36" i="5"/>
  <c r="C39" i="5"/>
  <c r="C38" i="5"/>
  <c r="C37" i="5"/>
  <c r="C35" i="5"/>
  <c r="D23" i="5"/>
  <c r="D13" i="8"/>
  <c r="E30" i="6"/>
  <c r="E23" i="6"/>
  <c r="E6" i="7"/>
  <c r="E29" i="6"/>
  <c r="E9" i="6"/>
  <c r="E31" i="9" s="1"/>
  <c r="E66" i="4"/>
  <c r="E15" i="6"/>
  <c r="E49" i="9" s="1"/>
  <c r="E7" i="6"/>
  <c r="E29" i="9" s="1"/>
  <c r="E6" i="8"/>
  <c r="E24" i="6"/>
  <c r="E14" i="5"/>
  <c r="E51" i="4"/>
  <c r="E24" i="5"/>
  <c r="E8" i="6"/>
  <c r="E30" i="9" s="1"/>
  <c r="E63" i="4"/>
  <c r="E16" i="6"/>
  <c r="E50" i="9" s="1"/>
  <c r="E20" i="5"/>
  <c r="E30" i="5"/>
  <c r="E20" i="8" s="1"/>
  <c r="E32" i="8" s="1"/>
  <c r="E6" i="6"/>
  <c r="E22" i="5"/>
  <c r="D6" i="10"/>
  <c r="D25" i="6"/>
  <c r="D26" i="6" s="1"/>
  <c r="D35" i="6"/>
  <c r="E61" i="4"/>
  <c r="D9" i="10"/>
  <c r="D42" i="6"/>
  <c r="C15" i="8"/>
  <c r="C53" i="8" s="1"/>
  <c r="D14" i="8"/>
  <c r="D25" i="5"/>
  <c r="C38" i="8"/>
  <c r="C31" i="10"/>
  <c r="C34" i="10" s="1"/>
  <c r="C33" i="11" s="1"/>
  <c r="C37" i="6"/>
  <c r="D13" i="6"/>
  <c r="D55" i="4"/>
  <c r="D56" i="4" s="1"/>
  <c r="D60" i="4" s="1"/>
  <c r="D62" i="4" s="1"/>
  <c r="D65" i="4" s="1"/>
  <c r="E59" i="4"/>
  <c r="B31" i="8"/>
  <c r="B33" i="8" s="1"/>
  <c r="B37" i="8" s="1"/>
  <c r="B40" i="8" s="1"/>
  <c r="B41" i="8" s="1"/>
  <c r="B43" i="8" s="1"/>
  <c r="B45" i="8" s="1"/>
  <c r="B47" i="8" s="1"/>
  <c r="B17" i="8"/>
  <c r="B54" i="8"/>
  <c r="D41" i="6"/>
  <c r="D7" i="10"/>
  <c r="D32" i="10" s="1"/>
  <c r="D26" i="5"/>
  <c r="D27" i="5" s="1"/>
  <c r="D12" i="8"/>
  <c r="D21" i="5"/>
  <c r="D52" i="8" l="1"/>
  <c r="D9" i="8"/>
  <c r="C26" i="10"/>
  <c r="C36" i="8"/>
  <c r="E14" i="6"/>
  <c r="E48" i="9" s="1"/>
  <c r="E7" i="8"/>
  <c r="E8" i="8" s="1"/>
  <c r="E15" i="5"/>
  <c r="D28" i="5"/>
  <c r="D42" i="5"/>
  <c r="D44" i="5"/>
  <c r="D17" i="5"/>
  <c r="C16" i="8"/>
  <c r="C43" i="5"/>
  <c r="C45" i="5"/>
  <c r="C29" i="5"/>
  <c r="E23" i="5"/>
  <c r="E13" i="8"/>
  <c r="D38" i="8"/>
  <c r="D31" i="10"/>
  <c r="D34" i="10" s="1"/>
  <c r="D33" i="11" s="1"/>
  <c r="F61" i="4"/>
  <c r="D38" i="9"/>
  <c r="C48" i="6"/>
  <c r="D34" i="6"/>
  <c r="D37" i="6" s="1"/>
  <c r="D15" i="8"/>
  <c r="D53" i="8" s="1"/>
  <c r="E10" i="6"/>
  <c r="E28" i="9"/>
  <c r="E7" i="10"/>
  <c r="E32" i="10" s="1"/>
  <c r="E41" i="6"/>
  <c r="C72" i="9"/>
  <c r="E12" i="8"/>
  <c r="E15" i="8" s="1"/>
  <c r="E53" i="8" s="1"/>
  <c r="E21" i="5"/>
  <c r="E26" i="5"/>
  <c r="E27" i="5" s="1"/>
  <c r="B34" i="11"/>
  <c r="B35" i="11" s="1"/>
  <c r="B21" i="8"/>
  <c r="E8" i="10"/>
  <c r="E36" i="6"/>
  <c r="E31" i="6"/>
  <c r="D36" i="5"/>
  <c r="D35" i="5"/>
  <c r="D39" i="5"/>
  <c r="D37" i="5"/>
  <c r="D38" i="5"/>
  <c r="C43" i="9"/>
  <c r="D46" i="6"/>
  <c r="D34" i="8"/>
  <c r="D24" i="10"/>
  <c r="F59" i="4"/>
  <c r="E13" i="6"/>
  <c r="E55" i="4"/>
  <c r="E56" i="4" s="1"/>
  <c r="E60" i="4" s="1"/>
  <c r="D25" i="10"/>
  <c r="D35" i="8"/>
  <c r="E62" i="4"/>
  <c r="E65" i="4" s="1"/>
  <c r="E27" i="7"/>
  <c r="E28" i="7"/>
  <c r="E7" i="7"/>
  <c r="E10" i="10"/>
  <c r="E34" i="5"/>
  <c r="D37" i="9"/>
  <c r="E6" i="10"/>
  <c r="E35" i="6"/>
  <c r="E25" i="6"/>
  <c r="E26" i="6" s="1"/>
  <c r="D43" i="6"/>
  <c r="E16" i="5"/>
  <c r="D17" i="6"/>
  <c r="D47" i="6" s="1"/>
  <c r="D47" i="9"/>
  <c r="D51" i="9" s="1"/>
  <c r="D57" i="9" s="1"/>
  <c r="E14" i="8"/>
  <c r="E25" i="5"/>
  <c r="E9" i="10"/>
  <c r="E42" i="6"/>
  <c r="F23" i="6"/>
  <c r="F7" i="6"/>
  <c r="F29" i="9" s="1"/>
  <c r="F30" i="5"/>
  <c r="F20" i="8" s="1"/>
  <c r="F32" i="8" s="1"/>
  <c r="F29" i="6"/>
  <c r="F22" i="5"/>
  <c r="F24" i="5"/>
  <c r="F63" i="4"/>
  <c r="F51" i="4"/>
  <c r="F30" i="6"/>
  <c r="F66" i="4"/>
  <c r="F24" i="6"/>
  <c r="F9" i="6"/>
  <c r="F31" i="9" s="1"/>
  <c r="F6" i="7"/>
  <c r="F8" i="6"/>
  <c r="F30" i="9" s="1"/>
  <c r="F6" i="6"/>
  <c r="F14" i="5"/>
  <c r="F16" i="5" s="1"/>
  <c r="F15" i="6"/>
  <c r="F49" i="9" s="1"/>
  <c r="F20" i="5"/>
  <c r="F6" i="8"/>
  <c r="F16" i="6"/>
  <c r="F50" i="9" s="1"/>
  <c r="E52" i="8" l="1"/>
  <c r="E9" i="8"/>
  <c r="E16" i="8"/>
  <c r="F44" i="5"/>
  <c r="F42" i="5"/>
  <c r="F17" i="5"/>
  <c r="F12" i="8"/>
  <c r="F21" i="5"/>
  <c r="F26" i="5"/>
  <c r="F27" i="5" s="1"/>
  <c r="F8" i="10"/>
  <c r="F36" i="6"/>
  <c r="F31" i="6"/>
  <c r="F23" i="5"/>
  <c r="F13" i="8"/>
  <c r="D49" i="6"/>
  <c r="E40" i="6"/>
  <c r="E43" i="6" s="1"/>
  <c r="D43" i="5"/>
  <c r="D45" i="5"/>
  <c r="D29" i="5"/>
  <c r="E24" i="10"/>
  <c r="E34" i="8"/>
  <c r="D16" i="8"/>
  <c r="D72" i="9"/>
  <c r="E28" i="5"/>
  <c r="E44" i="5"/>
  <c r="E42" i="5"/>
  <c r="E17" i="5"/>
  <c r="F27" i="7"/>
  <c r="F10" i="10"/>
  <c r="F28" i="7"/>
  <c r="F7" i="7"/>
  <c r="F34" i="5"/>
  <c r="E31" i="10"/>
  <c r="E34" i="10" s="1"/>
  <c r="E33" i="11" s="1"/>
  <c r="E38" i="8"/>
  <c r="E46" i="6"/>
  <c r="F6" i="10"/>
  <c r="F25" i="6"/>
  <c r="F26" i="6" s="1"/>
  <c r="F35" i="6"/>
  <c r="E37" i="9"/>
  <c r="D43" i="9"/>
  <c r="F41" i="6"/>
  <c r="F7" i="10"/>
  <c r="F32" i="10" s="1"/>
  <c r="E36" i="5"/>
  <c r="E38" i="5"/>
  <c r="E35" i="5"/>
  <c r="E39" i="5"/>
  <c r="E37" i="5"/>
  <c r="B57" i="8"/>
  <c r="B92" i="12" s="1"/>
  <c r="B22" i="8"/>
  <c r="D48" i="6"/>
  <c r="E34" i="6"/>
  <c r="E37" i="6" s="1"/>
  <c r="F13" i="6"/>
  <c r="F55" i="4"/>
  <c r="F56" i="4" s="1"/>
  <c r="F60" i="4" s="1"/>
  <c r="F62" i="4" s="1"/>
  <c r="F65" i="4" s="1"/>
  <c r="F14" i="8"/>
  <c r="F25" i="5"/>
  <c r="F14" i="6"/>
  <c r="F48" i="9" s="1"/>
  <c r="F7" i="8"/>
  <c r="F8" i="8" s="1"/>
  <c r="F15" i="5"/>
  <c r="F28" i="9"/>
  <c r="F10" i="6"/>
  <c r="E47" i="9"/>
  <c r="E51" i="9" s="1"/>
  <c r="E57" i="9" s="1"/>
  <c r="E17" i="6"/>
  <c r="E47" i="6" s="1"/>
  <c r="E25" i="10"/>
  <c r="E35" i="8"/>
  <c r="D20" i="6"/>
  <c r="C31" i="8"/>
  <c r="C33" i="8" s="1"/>
  <c r="C37" i="8" s="1"/>
  <c r="C40" i="8" s="1"/>
  <c r="C17" i="8"/>
  <c r="C54" i="8"/>
  <c r="F42" i="6"/>
  <c r="F9" i="10"/>
  <c r="E38" i="9"/>
  <c r="E61" i="9"/>
  <c r="F52" i="8" l="1"/>
  <c r="F9" i="8"/>
  <c r="D36" i="8"/>
  <c r="D26" i="10"/>
  <c r="F17" i="6"/>
  <c r="F47" i="6" s="1"/>
  <c r="F47" i="9"/>
  <c r="F51" i="9" s="1"/>
  <c r="F57" i="9" s="1"/>
  <c r="E49" i="6"/>
  <c r="F40" i="6"/>
  <c r="F43" i="6" s="1"/>
  <c r="F49" i="6" s="1"/>
  <c r="F38" i="5"/>
  <c r="F37" i="5"/>
  <c r="F35" i="5"/>
  <c r="F39" i="5"/>
  <c r="F36" i="5"/>
  <c r="F15" i="8"/>
  <c r="F53" i="8" s="1"/>
  <c r="F25" i="10"/>
  <c r="F35" i="8"/>
  <c r="E72" i="9"/>
  <c r="F28" i="5"/>
  <c r="D17" i="8"/>
  <c r="D54" i="8"/>
  <c r="D31" i="8"/>
  <c r="D33" i="8" s="1"/>
  <c r="D37" i="8" s="1"/>
  <c r="D40" i="8" s="1"/>
  <c r="F61" i="9"/>
  <c r="E48" i="6"/>
  <c r="F34" i="6"/>
  <c r="F37" i="6" s="1"/>
  <c r="F48" i="6" s="1"/>
  <c r="F38" i="9"/>
  <c r="B55" i="8"/>
  <c r="B90" i="12" s="1"/>
  <c r="B21" i="7"/>
  <c r="B59" i="8"/>
  <c r="B93" i="12" s="1"/>
  <c r="F20" i="6"/>
  <c r="F46" i="6"/>
  <c r="F31" i="10"/>
  <c r="F34" i="10" s="1"/>
  <c r="F33" i="11" s="1"/>
  <c r="F38" i="8"/>
  <c r="E17" i="8"/>
  <c r="E54" i="8"/>
  <c r="E31" i="8"/>
  <c r="E33" i="8" s="1"/>
  <c r="F24" i="10"/>
  <c r="F34" i="8"/>
  <c r="F37" i="9"/>
  <c r="F43" i="9" s="1"/>
  <c r="E43" i="9"/>
  <c r="E20" i="6"/>
  <c r="E45" i="5"/>
  <c r="E43" i="5"/>
  <c r="E29" i="5"/>
  <c r="F45" i="5" l="1"/>
  <c r="F43" i="5"/>
  <c r="F29" i="5"/>
  <c r="B22" i="7"/>
  <c r="F36" i="8"/>
  <c r="F26" i="10"/>
  <c r="F16" i="8"/>
  <c r="E36" i="8"/>
  <c r="E37" i="8" s="1"/>
  <c r="E40" i="8" s="1"/>
  <c r="E26" i="10"/>
  <c r="F72" i="9"/>
  <c r="B29" i="7" l="1"/>
  <c r="B89" i="12" s="1"/>
  <c r="B23" i="8"/>
  <c r="B24" i="8" s="1"/>
  <c r="F17" i="8"/>
  <c r="F54" i="8"/>
  <c r="F31" i="8"/>
  <c r="F33" i="8" s="1"/>
  <c r="F37" i="8" s="1"/>
  <c r="F40" i="8" s="1"/>
  <c r="B24" i="7"/>
  <c r="B23" i="7"/>
  <c r="B49" i="8" l="1"/>
  <c r="B56" i="8"/>
  <c r="B91" i="12" s="1"/>
  <c r="B25" i="8"/>
  <c r="B58" i="8"/>
  <c r="B23" i="10" l="1"/>
  <c r="B27" i="10" s="1"/>
  <c r="B62" i="9"/>
  <c r="B64" i="9" l="1"/>
  <c r="B39" i="11"/>
  <c r="B28" i="10"/>
  <c r="B44" i="10"/>
  <c r="B54" i="10" s="1"/>
  <c r="B99" i="12" s="1"/>
  <c r="B46" i="10"/>
  <c r="B56" i="10" l="1"/>
  <c r="B26" i="9"/>
  <c r="C45" i="10"/>
  <c r="C28" i="8"/>
  <c r="B73" i="9"/>
  <c r="B65" i="9"/>
  <c r="B32" i="11"/>
  <c r="B36" i="11" s="1"/>
  <c r="B55" i="10"/>
  <c r="B51" i="10"/>
  <c r="B97" i="12" s="1"/>
  <c r="B40" i="11"/>
  <c r="B41" i="11" s="1"/>
  <c r="B49" i="11" s="1"/>
  <c r="B125" i="11" l="1"/>
  <c r="B50" i="11"/>
  <c r="B32" i="9"/>
  <c r="B44" i="9" s="1"/>
  <c r="B69" i="9"/>
  <c r="B95" i="12" s="1"/>
  <c r="B42" i="11"/>
  <c r="B103" i="12" s="1"/>
  <c r="C42" i="8"/>
  <c r="C43" i="8" s="1"/>
  <c r="C45" i="8" s="1"/>
  <c r="C47" i="8" s="1"/>
  <c r="C41" i="8"/>
  <c r="B52" i="10"/>
  <c r="B98" i="12" s="1"/>
  <c r="C34" i="11" l="1"/>
  <c r="C35" i="11" s="1"/>
  <c r="C21" i="8"/>
  <c r="B68" i="9"/>
  <c r="B94" i="12" s="1"/>
  <c r="B70" i="9"/>
  <c r="B96" i="12" s="1"/>
  <c r="B71" i="9"/>
  <c r="B128" i="11"/>
  <c r="C57" i="8" l="1"/>
  <c r="C22" i="8"/>
  <c r="C55" i="8" l="1"/>
  <c r="C21" i="7"/>
  <c r="C22" i="7" l="1"/>
  <c r="C29" i="7" l="1"/>
  <c r="C23" i="8"/>
  <c r="C24" i="8" s="1"/>
  <c r="C24" i="7"/>
  <c r="C23" i="7"/>
  <c r="C23" i="10" l="1"/>
  <c r="C28" i="10" s="1"/>
  <c r="C25" i="8"/>
  <c r="C58" i="8"/>
  <c r="C56" i="8"/>
  <c r="C62" i="9"/>
  <c r="C64" i="9" l="1"/>
  <c r="C32" i="11"/>
  <c r="C36" i="11" s="1"/>
  <c r="C49" i="11" s="1"/>
  <c r="C55" i="10"/>
  <c r="C44" i="10"/>
  <c r="C46" i="10" s="1"/>
  <c r="C56" i="10" l="1"/>
  <c r="C26" i="9"/>
  <c r="D45" i="10"/>
  <c r="D28" i="8"/>
  <c r="C51" i="10"/>
  <c r="C125" i="11"/>
  <c r="C50" i="11"/>
  <c r="C73" i="9"/>
  <c r="C65" i="9"/>
  <c r="C128" i="11" l="1"/>
  <c r="D42" i="8"/>
  <c r="D41" i="8"/>
  <c r="C52" i="10"/>
  <c r="C69" i="9"/>
  <c r="C32" i="9"/>
  <c r="C44" i="9" s="1"/>
  <c r="D43" i="8" l="1"/>
  <c r="D45" i="8" s="1"/>
  <c r="D47" i="8" s="1"/>
  <c r="C70" i="9"/>
  <c r="C68" i="9"/>
  <c r="C71" i="9"/>
  <c r="D34" i="11" l="1"/>
  <c r="D35" i="11" s="1"/>
  <c r="D21" i="8"/>
  <c r="D57" i="8" l="1"/>
  <c r="D22" i="8"/>
  <c r="D55" i="8" l="1"/>
  <c r="D21" i="7"/>
  <c r="D22" i="7" l="1"/>
  <c r="D29" i="7" l="1"/>
  <c r="D23" i="8"/>
  <c r="D24" i="8" s="1"/>
  <c r="D24" i="7"/>
  <c r="D23" i="7"/>
  <c r="D23" i="10" l="1"/>
  <c r="D28" i="10" s="1"/>
  <c r="D56" i="8"/>
  <c r="D25" i="8"/>
  <c r="D58" i="8"/>
  <c r="D62" i="9"/>
  <c r="D64" i="9" l="1"/>
  <c r="D32" i="11"/>
  <c r="D36" i="11" s="1"/>
  <c r="D49" i="11" s="1"/>
  <c r="D55" i="10"/>
  <c r="D44" i="10"/>
  <c r="D46" i="10" s="1"/>
  <c r="D125" i="11" l="1"/>
  <c r="D50" i="11"/>
  <c r="D56" i="10"/>
  <c r="D26" i="9"/>
  <c r="E45" i="10"/>
  <c r="E28" i="8"/>
  <c r="D51" i="10"/>
  <c r="D73" i="9"/>
  <c r="D65" i="9"/>
  <c r="D69" i="9" l="1"/>
  <c r="D32" i="9"/>
  <c r="D44" i="9" s="1"/>
  <c r="E42" i="8"/>
  <c r="E41" i="8"/>
  <c r="D128" i="11"/>
  <c r="D52" i="10"/>
  <c r="E43" i="8" l="1"/>
  <c r="E45" i="8" s="1"/>
  <c r="E47" i="8" s="1"/>
  <c r="D70" i="9"/>
  <c r="D68" i="9"/>
  <c r="D71" i="9"/>
  <c r="E34" i="11" l="1"/>
  <c r="E35" i="11" s="1"/>
  <c r="E21" i="8"/>
  <c r="E57" i="8" l="1"/>
  <c r="E22" i="8"/>
  <c r="E55" i="8" l="1"/>
  <c r="E21" i="7"/>
  <c r="E22" i="7" l="1"/>
  <c r="E23" i="7" s="1"/>
  <c r="E24" i="7"/>
  <c r="E29" i="7" l="1"/>
  <c r="E23" i="8"/>
  <c r="E24" i="8" s="1"/>
  <c r="E56" i="8" l="1"/>
  <c r="E23" i="10"/>
  <c r="E28" i="10" s="1"/>
  <c r="E58" i="8"/>
  <c r="E25" i="8"/>
  <c r="E62" i="9"/>
  <c r="E64" i="9" l="1"/>
  <c r="E32" i="11"/>
  <c r="E36" i="11" s="1"/>
  <c r="E49" i="11" s="1"/>
  <c r="E51" i="10"/>
  <c r="E55" i="10"/>
  <c r="E44" i="10"/>
  <c r="E46" i="10" s="1"/>
  <c r="E56" i="10" l="1"/>
  <c r="E26" i="9"/>
  <c r="F45" i="10"/>
  <c r="F28" i="8"/>
  <c r="E50" i="11"/>
  <c r="E125" i="11"/>
  <c r="E73" i="9"/>
  <c r="E65" i="9"/>
  <c r="E128" i="11" l="1"/>
  <c r="F42" i="8"/>
  <c r="F41" i="8"/>
  <c r="E52" i="10"/>
  <c r="E69" i="9"/>
  <c r="E32" i="9"/>
  <c r="E44" i="9" s="1"/>
  <c r="E71" i="9" l="1"/>
  <c r="E68" i="9"/>
  <c r="E70" i="9"/>
  <c r="F43" i="8"/>
  <c r="F45" i="8" s="1"/>
  <c r="F47" i="8" s="1"/>
  <c r="F34" i="11" l="1"/>
  <c r="F35" i="11" s="1"/>
  <c r="F21" i="8"/>
  <c r="F57" i="8" l="1"/>
  <c r="F22" i="8"/>
  <c r="F21" i="7" l="1"/>
  <c r="F55" i="8"/>
  <c r="F22" i="7" l="1"/>
  <c r="F23" i="7"/>
  <c r="F23" i="8" l="1"/>
  <c r="F24" i="8" s="1"/>
  <c r="F29" i="7"/>
  <c r="F24" i="7"/>
  <c r="F56" i="8" l="1"/>
  <c r="F58" i="8"/>
  <c r="F23" i="10"/>
  <c r="F28" i="10" s="1"/>
  <c r="F25" i="8"/>
  <c r="F62" i="9"/>
  <c r="F64" i="9" s="1"/>
  <c r="F32" i="11" l="1"/>
  <c r="F36" i="11" s="1"/>
  <c r="F49" i="11" s="1"/>
  <c r="F55" i="10"/>
  <c r="F44" i="10"/>
  <c r="F46" i="10" s="1"/>
  <c r="F73" i="9"/>
  <c r="F65" i="9"/>
  <c r="F56" i="10" l="1"/>
  <c r="F26" i="9"/>
  <c r="F51" i="10"/>
  <c r="F50" i="11"/>
  <c r="F125" i="11"/>
  <c r="F128" i="11" l="1"/>
  <c r="B53" i="11"/>
  <c r="F69" i="9"/>
  <c r="F32" i="9"/>
  <c r="F44" i="9" s="1"/>
  <c r="F71" i="9" l="1"/>
  <c r="F68" i="9"/>
  <c r="F70" i="9"/>
  <c r="B55" i="11"/>
  <c r="B57" i="11"/>
  <c r="B105" i="12" s="1"/>
  <c r="B114" i="12" l="1"/>
  <c r="B129" i="11"/>
  <c r="B70" i="11"/>
  <c r="B72" i="11" s="1"/>
  <c r="B56" i="11"/>
  <c r="B104" i="12" s="1"/>
  <c r="B113" i="12" l="1"/>
  <c r="B80" i="11"/>
  <c r="B74" i="12"/>
  <c r="B132" i="11"/>
  <c r="B81" i="11" l="1"/>
  <c r="B106" i="12" s="1"/>
  <c r="B135" i="11"/>
  <c r="B89" i="11"/>
  <c r="B140" i="11" s="1"/>
  <c r="B90" i="11"/>
  <c r="B88" i="11"/>
  <c r="B139" i="11" l="1"/>
  <c r="B108" i="12" s="1"/>
  <c r="B93" i="11"/>
  <c r="B73" i="12"/>
  <c r="B72" i="12" s="1"/>
  <c r="B92" i="11"/>
  <c r="B107" i="12" s="1"/>
  <c r="B91" i="11"/>
  <c r="B94" i="11" s="1"/>
  <c r="B141" i="11"/>
</calcChain>
</file>

<file path=xl/sharedStrings.xml><?xml version="1.0" encoding="utf-8"?>
<sst xmlns="http://schemas.openxmlformats.org/spreadsheetml/2006/main" count="2524" uniqueCount="1276">
  <si>
    <t>Duolingo, Inc. (NASDAQ: DUOL)</t>
  </si>
  <si>
    <t>Institutional Financial Model — Street Spine Operating &amp; Valuation Model (Sole Author: Faraz Shaikh)</t>
  </si>
  <si>
    <t>AS-OF SNAPSHOT — as of October 8, 2026. Standalone functional street model, live Excel formulas, frozen as-of basis.</t>
  </si>
  <si>
    <t>EXECUTIVE VALUATION VERDICT</t>
  </si>
  <si>
    <t/>
  </si>
  <si>
    <t>Canonical Intrinsic Value (3-Stage DCF)</t>
  </si>
  <si>
    <t>Perpetual post-terminal dilution basis (Stage 1 explicit + Stage 2 fade + Stage 3 Gordon)</t>
  </si>
  <si>
    <t>Current Market Share Price</t>
  </si>
  <si>
    <t>Snapshot close as of valuation date (stockanalysis.com)</t>
  </si>
  <si>
    <t>Street Valuation Verdict</t>
  </si>
  <si>
    <t>Trading at +35.0% premium to intrinsic value (-$39.41 per share discount)</t>
  </si>
  <si>
    <t>Scenario Range (Bear / Base / Bull)</t>
  </si>
  <si>
    <t>$61.47  /  $112.74  /  $238.07</t>
  </si>
  <si>
    <t>Operating scenario spectrum (Bear $61.47, Base $112.74, Bull $238.07)</t>
  </si>
  <si>
    <t>Enterprise Value (EV)</t>
  </si>
  <si>
    <t>$ in thousands — Stage 1+2 explicit PV $3,109,718 + Stage 3 terminal PV $3,071,897</t>
  </si>
  <si>
    <t>Net Cash (Valuation Seam)</t>
  </si>
  <si>
    <t>Cash $1,180,887 + STI $132,979 + LTI $102,693 + Stub roll $18,890 - Debt $0</t>
  </si>
  <si>
    <t>Implied Equity Value</t>
  </si>
  <si>
    <t>Enterprise Value + Effective Net Cash ($ in thousands)</t>
  </si>
  <si>
    <t>Canonical Share Divisor</t>
  </si>
  <si>
    <t>Perpetual terminal divisor after 10Y issuance roll &amp; 1.0% post-terminal dilution</t>
  </si>
  <si>
    <t>Point-in-Time Diluted Shares</t>
  </si>
  <si>
    <t>Point-in-time fully diluted count at 2026-06-30 (Note 11 Form 10-Q)</t>
  </si>
  <si>
    <t>Finite-Horizon DCF Per Share (10Y)</t>
  </si>
  <si>
    <t>Stage 1 explicit + Stage 2 fade horizon without perpetual post-terminal dilution</t>
  </si>
  <si>
    <t>5-Year Horizon DCF Per Share (5Y)</t>
  </si>
  <si>
    <t>5-year explicit horizon (EV $5,421,997, divisor 57,502,257, finite $120.45)</t>
  </si>
  <si>
    <t>EBITDA Bridge Bound (C2)</t>
  </si>
  <si>
    <t>Maximum |residual| / revenue tolerance bound (7.50% bound vs 6.133% max observed)</t>
  </si>
  <si>
    <t>STREET MODEL BASIS &amp; PARAMETERS</t>
  </si>
  <si>
    <t>Valuation As-Of Date</t>
  </si>
  <si>
    <t>2026-10-08</t>
  </si>
  <si>
    <t>Snapshot vintage date</t>
  </si>
  <si>
    <t>Model Version / Release Tag</t>
  </si>
  <si>
    <t>v1.0-P13</t>
  </si>
  <si>
    <t>Phase 13 Institutional Street Release</t>
  </si>
  <si>
    <t>Active Scenario</t>
  </si>
  <si>
    <t>base</t>
  </si>
  <si>
    <t>Default operating scenario</t>
  </si>
  <si>
    <t>Weighted Average Cost of Capital (WACC)</t>
  </si>
  <si>
    <t>Cost of Equity: rf 4.79% + Beta 1.49 x ERP 4.25% (Debt-free capital structure)</t>
  </si>
  <si>
    <t>Long-Term Terminal Growth Rate (g)</t>
  </si>
  <si>
    <t>Gordon perpetuity growth (Stage 3), bounded below long-run GDP growth</t>
  </si>
  <si>
    <t>Stage 1 Explicit Forecast Horizon</t>
  </si>
  <si>
    <t>FY2026–FY2030</t>
  </si>
  <si>
    <t>5 forward explicit projection periods</t>
  </si>
  <si>
    <t>Stage 2 Fade Glide Horizon</t>
  </si>
  <si>
    <t>FY2031–FY2035</t>
  </si>
  <si>
    <t>5 linear fade periods to mature terminal metrics</t>
  </si>
  <si>
    <t>Stage 3 Terminal Steady-State</t>
  </si>
  <si>
    <t>FY2036+</t>
  </si>
  <si>
    <t>Gordon steady-state perpetuity</t>
  </si>
  <si>
    <t>Model Units Convention</t>
  </si>
  <si>
    <t>$ in thousands (as filed)</t>
  </si>
  <si>
    <t>Dollar statements in thousands; share counts and per-share in exact units</t>
  </si>
  <si>
    <t>Net Cash Basis (As-Filed Q2 FY2026)</t>
  </si>
  <si>
    <t>Formula: Cash + Short-term investments + Long-term investments as filed Q2 FY2026</t>
  </si>
  <si>
    <t>Seam Stub Cash Roll</t>
  </si>
  <si>
    <t>Pre-valuation stub roll (30 Jun to effective valuation date, 64 days)</t>
  </si>
  <si>
    <t>Effective Net Cash at Valuation Date</t>
  </si>
  <si>
    <t>Formula: As-filed Net Cash + Stub cash roll ($1,435,448.73k)</t>
  </si>
  <si>
    <t>WORKBOOK CONTENTS INDEX (12-TAB STREET SPINE)</t>
  </si>
  <si>
    <t>00_Cover</t>
  </si>
  <si>
    <t>Executive valuation verdict, model basis, contents index</t>
  </si>
  <si>
    <t>01_Assumptions</t>
  </si>
  <si>
    <t>Operating forecast drivers, stage structure, model controls, exception register</t>
  </si>
  <si>
    <t>02_Historicals</t>
  </si>
  <si>
    <t>Reported 3-statement actuals FY2021–FY2025, interim periods, operational KPIs, EBITDA bridge</t>
  </si>
  <si>
    <t>03_Revenue</t>
  </si>
  <si>
    <t>User growth model, subscription bookings, recognized revenue by line, deferred revenue roll-forward</t>
  </si>
  <si>
    <t>04_Costs</t>
  </si>
  <si>
    <t>Cost of revenues, gross margin, operating expenses (R&amp;D, S&amp;M, G&amp;A), stock-based compensation breakdown</t>
  </si>
  <si>
    <t>05_WC_Capex</t>
  </si>
  <si>
    <t>Net working capital components &amp; day drivers, capital expenditures, PP&amp;E roll-forward, D&amp;A schedules</t>
  </si>
  <si>
    <t>06_SBC_Tax_Shares</t>
  </si>
  <si>
    <t>Stock-based compensation expense, treasury stock method share dilution bridge, tax provision schedules</t>
  </si>
  <si>
    <t>07_IS</t>
  </si>
  <si>
    <t>Projected 3-statement Income Statement, operating profit, net income, non-GAAP EBITDA reconciliation</t>
  </si>
  <si>
    <t>08_BS</t>
  </si>
  <si>
    <t>Projected 3-statement Balance Sheet, working capital linkage, retained earnings roll, zero-plug balance check</t>
  </si>
  <si>
    <t>09_CF</t>
  </si>
  <si>
    <t>Projected 3-statement Cash Flow Statement, operating cash flows, free cash flow conversion, cash tie-out</t>
  </si>
  <si>
    <t>10_DCF</t>
  </si>
  <si>
    <t>Unlevered Free Cash Flow (FCFF), dated discount factors, 3-stage valuation bridge, equity value per share</t>
  </si>
  <si>
    <t>11_Sens_Checks</t>
  </si>
  <si>
    <t>WACC × g sensitivity matrix, operating sensitivity tables, master audit integrity check ledger</t>
  </si>
  <si>
    <t>CACHE &amp; REPRODUCIBILITY NOTICE</t>
  </si>
  <si>
    <t>This file is served at an immutable path with an immutable name. If your spreadsheet application displays a stale copy, perform a hard reload or clear temporary cache files before opening. The filename carries the snapshot as-of date.</t>
  </si>
  <si>
    <t>COLD-OPEN AUDIT STATUS</t>
  </si>
  <si>
    <t>COM Excel 16.0 verified in host execution environment. Clean open (12 worksheets, zero repair prompts), all defined names accepted individually, all formula cells accepted, and CalculateFullRebuild parity verified with zero value discrepancies against model caches.</t>
  </si>
  <si>
    <t>MODEL PROVENANCE &amp; SEC CITATIONS</t>
  </si>
  <si>
    <t>Source Filings: Form 10-K FY2021 (0001628280-22-004492), FY2022 (0001628280-23-005697), FY2023 (0001628280-24-007798), FY2024 (0001628280-25-008123), FY2025 (0001628280-26-008234).</t>
  </si>
  <si>
    <t>Interim Filings: Form 10-Q 9M FY2025 (0001628280-25-045120), Form 10-Q Q1 FY2026 (0001628280-26-021004), Form 10-Q Q2 FY2026 (0001628280-26-053603).</t>
  </si>
  <si>
    <t>Market Benchmarks: U.S. 10Y Treasury (FRED DGS10 4.79%), Implied ERP (Damodaran NYU Stern 4.25%), Levered Beta (1.49 peer mean: SPOT, RBLX, NFLX).</t>
  </si>
  <si>
    <t>Author of Record: Faraz Shaikh, sole author. All rights reserved. Built to CFA Institute and institutional Wall Street standards.</t>
  </si>
  <si>
    <t>Assumptions &amp; Operating Drivers</t>
  </si>
  <si>
    <t>All operating drivers in one place. Stage 1 = FY2026–FY2030 explicit. Stage 2 = fade glide. Stage 3 = Gordon terminal.</t>
  </si>
  <si>
    <t>Scenario: base. Blue font = hardcoded input. All drivers registered with defined names. Bear / Bull deltas are reference-only.</t>
  </si>
  <si>
    <t>Driver</t>
  </si>
  <si>
    <t>Group</t>
  </si>
  <si>
    <t>Value</t>
  </si>
  <si>
    <t>Units</t>
  </si>
  <si>
    <t>Notes &amp; Provenance</t>
  </si>
  <si>
    <t>WORKINGCAPITAL DRIVERS</t>
  </si>
  <si>
    <t>Days Sales Outstanding (DSO)</t>
  </si>
  <si>
    <t>workingCapital</t>
  </si>
  <si>
    <t>FY2025 actual: Accounts Receivable 162,827 / Revenue 1,037,589 * 365 = 57.28 days</t>
  </si>
  <si>
    <t>Deferred Revenue (% of Revenue)</t>
  </si>
  <si>
    <t>FY2025 actual: Deferred Revenues 496,205 (Form 10-K Note 3 / Total Deferred Revenues across current $483,165k + non-current $13,040k = $496,205k; reported under Total Current Liabilities $551,148k / Total Liabilities $645,176k on 02_Historicals) / Revenue 1,037,589 = 47.82%</t>
  </si>
  <si>
    <t>Deferred Cost of Revenues (% of Revenue)</t>
  </si>
  <si>
    <t>FY2025 actual: Deferred Cost of Revenues 102,663 / Revenue 1,037,589 = 9.89%</t>
  </si>
  <si>
    <t>Prepaid Expenses and Other Current Assets (% of Revenue)</t>
  </si>
  <si>
    <t>FY2025 actual: Prepaid Expenses 16,582 / Revenue 1,037,589 = 1.60%</t>
  </si>
  <si>
    <t>Income Tax Receivable (% of Revenue)</t>
  </si>
  <si>
    <t>FY2025 actual: Income Tax Receivable 14,067 / Revenue 1,037,589 = 1.36%</t>
  </si>
  <si>
    <t>Days Payable Outstanding (DPO)</t>
  </si>
  <si>
    <t>FY2025 actual: Accounts Payable 7,998 / Cost of Revenue 288,132 * 365 = 10.13 days</t>
  </si>
  <si>
    <t>Accounts Payable (% of Revenue)</t>
  </si>
  <si>
    <t>FY2025 actual: Accounts Payable 7,998 / Revenue 1,037,589 = 0.77%</t>
  </si>
  <si>
    <t>Accrued Expenses and Other Current Liabilities (% of Revenue)</t>
  </si>
  <si>
    <t>FY2025 actual: Accrued Expenses 45,688 / Revenue 1,037,589 = 4.40%</t>
  </si>
  <si>
    <t>Income Tax Payable (% of Revenue)</t>
  </si>
  <si>
    <t>FY2025 actual: Income Tax Payable 1,257 / Revenue 1,037,589 = 0.12%</t>
  </si>
  <si>
    <t>CAPEX &amp; D&amp;A DRIVERS</t>
  </si>
  <si>
    <t>Purchases of PP&amp;E (% of Revenue)</t>
  </si>
  <si>
    <t>capexDna</t>
  </si>
  <si>
    <t>FY2025 actual: Purchases of Property and Equipment 18,096 / Revenue 1,037,589 = 1.74%</t>
  </si>
  <si>
    <t>Capitalized Software &amp; Intangibles (% of Revenue)</t>
  </si>
  <si>
    <t>FY2025 actual: Capitalized software &amp; intangibles 9,303 / Revenue 1,037,589 = 0.90%</t>
  </si>
  <si>
    <t>Total Capex (% of Revenue)</t>
  </si>
  <si>
    <t>FY2025 actual: Total capex (PP&amp;E 18,096 + Software 9,303 = 27,399) / Revenue 1,037,589 = 2.64%</t>
  </si>
  <si>
    <t>PP&amp;E Depreciation (% of Revenue)</t>
  </si>
  <si>
    <t>FY2025 actual: PP&amp;E depreciation 5,195 / Revenue 1,037,589 = 0.50%</t>
  </si>
  <si>
    <t>Intangible Amortization (% of Revenue)</t>
  </si>
  <si>
    <t>FY2025 actual: Intangible amortization 9,196 / Revenue 1,037,589 = 0.89%</t>
  </si>
  <si>
    <t>PP&amp;E Depreciation (% of Gross PP&amp;E)</t>
  </si>
  <si>
    <t>FY2025 actual: PP&amp;E depreciation 5,195 / Gross PP&amp;E 57,868 = 8.98%</t>
  </si>
  <si>
    <t>SBC DRIVERS</t>
  </si>
  <si>
    <t>Stock-Based Compensation (% of Revenue)</t>
  </si>
  <si>
    <t>sbc</t>
  </si>
  <si>
    <t>FY2025 actual: Stock-based compensation 137,437 / Revenue 1,037,589 = 13.25%</t>
  </si>
  <si>
    <t>SBC Fade End (% of Revenue)</t>
  </si>
  <si>
    <t>EST judgment per Phase 9 FP.C: Steady-state terminal SBC-to-revenue ratio endpoint (default 8.0%, matching SBC_FADE_STEADY_STATE_PCT), promoted into base FY2031–FY2035 path.</t>
  </si>
  <si>
    <t>REVENUE DRIVERS</t>
  </si>
  <si>
    <t>Paid Subscriber Growth (Annual)</t>
  </si>
  <si>
    <t>revenue</t>
  </si>
  <si>
    <t>EST judgment - equal-weight blend of the two cited paid-subscriber observations: FY2025 full-year growth +28.4211% (9,500,000 FY2024 → 12,200,000 FY2025, 10-K FY2025) and H1 FY2026 annualized +8.3647% (12,200,000 → 12,700,000 over two quarters, 10-Q Q2 FY2026, compounded to an annual rate). Labeled EST: forward subscriber growth is judgment, not a filed figure. The two anchors bracket a sharp deceleration, so neither alone is a safe default; the blend is the disclosed middle.</t>
  </si>
  <si>
    <t>Subscription ARPU (per Average Paid Subscriber, Annual)</t>
  </si>
  <si>
    <t>FY2025 actual: subscription revenue 873,442 (thousands USD) / average paid subscribers 10,850,000 ((9,500,000 FY2024 + 12,200,000 FY2025) / 2) = $80.5016 per average subscriber per year. Held flat across the horizon (conservative - no assumed price/mix expansion). The H1 FY2026 implied ARPU (~$81.76) is carried as a context output for cross-checking, not as an anchor.</t>
  </si>
  <si>
    <t>Advertising Revenue Growth (Annual)</t>
  </si>
  <si>
    <t>EST judgment - H1 like-for-like YoY: H1 FY2026 advertising 41,666 (Q1 20,614 + Q2 21,052, cited 10-Q) / H1 FY2025 38,485 (9M FY2025 − Q3 FY2025, cited) − 1 = +8.2656%. The half-year like-for-like comparison is the freshest anchor available in the corpus; FY2025 full-year YoY was +45.20%, which extrapolates implausibly.</t>
  </si>
  <si>
    <t>Duolingo English Test Revenue Growth (Annual)</t>
  </si>
  <si>
    <t>EST judgment - H1 like-for-like YoY: H1 FY2026 DET 21,426 (Q1 11,317 + Q2 10,109, cited 10-Q) / H1 FY2025 22,074 (9M FY2025 − Q3 FY2025, cited) − 1 = −2.9356%. The half-year like-for-like comparison is the freshest anchor available in the corpus.</t>
  </si>
  <si>
    <t>In-App Purchase Revenue Growth (Annual)</t>
  </si>
  <si>
    <t>EST judgment - H1 like-for-like YoY: H1 FY2026 IAP 16,448 (Q1 8,446 + Q2 8,002, cited 10-Q) / H1 FY2025 19,832 (9M FY2025 − Q3 FY2025, cited) − 1 = −17.0633%. The half-year like-for-like comparison is the freshest anchor available in the corpus.</t>
  </si>
  <si>
    <t>Other Revenue Growth (Annual)</t>
  </si>
  <si>
    <t>EST judgment - held constant by explicit design (default growth 0): revenue_other is the footnote residual line, FY2025 actual 1,937, i.e. 0.19% of total revenue. The H1 like-for-like observation is +103.57% (952 → 1,938) but off an immaterial base; extrapolating it would distort the revenue mix. Growth 0 = held constant at the cited FY2025 value; the driver remains adjustable and is never dropped from the cascade.</t>
  </si>
  <si>
    <t>Paid Subscriber Fade Floor</t>
  </si>
  <si>
    <t>EST judgment per Phase 9 FP.D: Linear fade floor for subscriber growth over FY2031–FY2035 (default 4.0%), bounded by terminal_growth_rate &lt; fade_floor &lt; paid_subscriber_growth.</t>
  </si>
  <si>
    <t>COSTS DRIVERS</t>
  </si>
  <si>
    <t>Cost of Revenue (% of Revenue)</t>
  </si>
  <si>
    <t>costs</t>
  </si>
  <si>
    <t>FY2025 actual: Cost of revenue 288,132 / Revenue 1,037,589 = 27.7694%. Anchored on FY2025 (the last fully-reported fiscal year) per the P3 contract's own cost-ratio basis.</t>
  </si>
  <si>
    <t>Research &amp; Development (% of Revenue)</t>
  </si>
  <si>
    <t>FY2025 actual: Research and development 306,323 / Revenue 1,037,589 = 29.5226%.</t>
  </si>
  <si>
    <t>Sales &amp; Marketing (% of Revenue)</t>
  </si>
  <si>
    <t>FY2025 actual: Sales and marketing 125,677 / Revenue 1,037,589 = 12.1124%.</t>
  </si>
  <si>
    <t>General &amp; Administrative (% of Revenue)</t>
  </si>
  <si>
    <t>FY2025 actual: General and administrative 181,887 / Revenue 1,037,589 = 17.5298%.</t>
  </si>
  <si>
    <t>Other Income, Net (% of Revenue)</t>
  </si>
  <si>
    <t>FY2025 actual: Other income, net 1,609 / Revenue 1,037,589 = 0.1551%.</t>
  </si>
  <si>
    <t>TAX DRIVERS</t>
  </si>
  <si>
    <t>Effective Tax Rate (Normalized Structural)</t>
  </si>
  <si>
    <t>tax</t>
  </si>
  <si>
    <t>EST judgment - normalized structural rate, NOT an observed effective rate. FY2025's effective rate of −126.997% (tax −231,655 on pretax 182,410) is a one-time valuation-allowance release and is prohibited as an anchor. FY2021 (−0.2952%) and FY2022 (−1.5997%) are not meaningful because both years had pretax losses. FY2023 9.6192% and FY2024 13.4225% are the only two positive-rate years in the corpus; the default takes FY2024, the most recent undistorted fiscal year (tax 13,732 / pretax 102,306 = 13.4225%). The rate sits below the 21% US federal statutory rate because of the valuation-allowance and foreign-tax-credit position - a modeling judgment the user can override.</t>
  </si>
  <si>
    <t>FINANCING DRIVERS</t>
  </si>
  <si>
    <t>Share Repurchases (Annual)</t>
  </si>
  <si>
    <t>financing</t>
  </si>
  <si>
    <t>EST judgment - H1 FY2026 cited repurchases 69,603 (6M FY2026 YTD cash-flow row; Q1 24,331 + Q2 45,272, an accelerating pace) × 2 = 139,206 annualized. Held constant in absolute terms across the horizon - conservative, so buyback intensity declines as revenue grows. Stored as a positive magnitude; the engine applies the financing-outflow sign explicitly.</t>
  </si>
  <si>
    <t>Proceeds from Stock Option Exercise (Annual)</t>
  </si>
  <si>
    <t>FY2025 actual: proceeds from stock option exercise 12,570 (cited 10-K FY2025 consolidated statement of cash flows, financing activities). Held constant across the horizon - EST. Stored as a positive magnitude; the engine applies the financing-inflow sign explicitly.</t>
  </si>
  <si>
    <t>Taxes Paid on Net Share Settlement (Annual)</t>
  </si>
  <si>
    <t>FY2025 actual magnitude: taxes paid related to net share settlement of equity awards 41,617 (cited 10-K FY2025 cash-flow statement, where it is signed −41,617 as a financing outflow). Held constant across the horizon - EST. Stored as a positive magnitude; the engine applies the financing-outflow sign explicitly.</t>
  </si>
  <si>
    <t>Interest Income Rate (% of Average Invested Cash)</t>
  </si>
  <si>
    <t>FY2025 actual: interest income 45,231 / average invested cash 1,125,751 - where invested cash is cash and cash equivalents + short-term investments + long-term investments, averaged across the FY2024 balance (975,937) and the FY2025 balance (1,275,565) - = 4.0179%. Drives the P3.2 income-statement ↔ balance-sheet interest-income linkage.</t>
  </si>
  <si>
    <t>MARKET DRIVERS</t>
  </si>
  <si>
    <t>Risk-Free Rate (10Y Treasury)</t>
  </si>
  <si>
    <t>market</t>
  </si>
  <si>
    <t>MKT snapshot as of 2026-09-01 via FRED (Federal Reserve Bank of St. Louis), series DGS10 - Market Yield on U.S. Treasury Securities at 10-Year Constant Maturity, Quoted on an Investment Basis: 4.79%. 2026-09-01 is the posted official observation (the release flagged as pending in prior snapshot notes is now published). Bear/bull deltas move the discount rate inversely to equity risk appetite (bear = higher required return).</t>
  </si>
  <si>
    <t>Levered Equity Beta</t>
  </si>
  <si>
    <t>MKT snapshot as of 2026-08-31: Bottom-up MEAN unlevered beta = 1.49 across locked peer set (Spotify, Roblox, Netflix). Per-peer 60-month OLS regressions against S&amp;P 500 (2021-09 to 2026-08) and Hamada unlevering on filed FY2025 D/E: (1) Spotify (SPOT): levered beta = 1.5860, D/E = 1.64% (EUR1,956M total debt / $119,529M market cap), t = 21.0% -&gt; unlevered beta = 1.5657 (1.57); (2) Roblox (RBLX): levered beta = 1.4742, D/E = 3.12% ($1,788M total debt / $57,398M market cap), t = 21.0% -&gt; unlevered beta = 1.4387 (1.44); (3) Netflix (NFLX): levered beta = 1.5258, D/E = 4.29% ($16,976M total debt / $395,870M market cap), t = 13.7% -&gt; unlevered beta = 1.4713 (1.47). Peer statistics: mean = 1.4919 (rounded to step 0.01 = 1.49); span = 0.1270 (0.13), about 8.6% of the mean, so dispersion is tight and contains no outlier. MEAN, not median, is the basis: at n = 3 the median is definitionally the middle observation (Netflix 1.4713), so it quotes one peer rather than summarising the set; the median outlier-resistance advantage has nothing to resist here. Peer regression quality independently favours the peer set: R2 = 30.38% (SPOT), 28.85% (NFLX), 12.94% (RBLX). Duolingo is debt-free (D = 0), so the mean unlevered asset beta (1.49) applies directly without relevering (no Hamada adjustment applies). Cross-check disclosed alongside and NOT used: DUOL own 60-observation regression (2021-09 to 2026-08 OLS beta = 0.890488, rounded to 0.89, t = 1.72, R2 = 4.83%, stderr = 0.519187 against the S&amp;P 500 Index). That own regression is unreliable and is rejected on its own statistics: R2 = 4.83% means the market explains under 5% of Duolingo return variance, and the standard error puts the one-sigma band at roughly 0.37-1.41. Bear/bull deltas widen or narrow the systematic-risk input.</t>
  </si>
  <si>
    <t>Equity Risk Premium (US)</t>
  </si>
  <si>
    <t>MKT snapshot as of 2026-09-01 via Aswath Damodaran (NYU Stern) - trailing 3-month average of Damodaran's published monthly implied ERP for the United States (trailing 12-month with adjusted payout). Trailing 3-month monthly prints: 4.30% (2026-07-01), 4.28% (2026-08-01), and 4.14% (2026-09-01); unweighted average = (4.30% + 4.28% + 4.14%) / 3 = 4.2400%, rounded to driver step (0.0005) = 4.2500% (0.0425). Smoothing rule: value is the mechanical unweighted average of the trailing 3 monthly prints rounded to the driver step (0.0005). The annual January 5, 2026 country risk premium table (4.46%) is retired to eliminate structural staleness (Finding-C lineage remediation). Cross-check against Damodaran's historical implied-ERP series: 4.33% (2024) and 4.23% (2025). Series URL: https://pages.stern.nyu.edu/~adamodar/pc/implprem/ERPbymonth.xlsx. Bear/bull deltas widen or narrow the premium.</t>
  </si>
  <si>
    <t>Terminal Growth Rate (Perpetuity)</t>
  </si>
  <si>
    <t>EST judgment - long-run perpetuity growth for the Gordon terminal value. Set at 2.5%: strictly below the Base WACC (11.1225%, ~862.25bps of Gordon headroom) and below the long-run US nominal GDP growth ceiling of ~4.0% (~2.0% real + ~2.0% inflation), so the perpetuity never implies Duolingo outgrowing the economy that hosts it. Max bound is TERMINAL_GROWTH_BOUNDS.max (0.04) from constants.js. Not an MKT input - no market price reveals long-run growth - so it carries no as-of date. Contract-reading note: the P4.1 contract text says this driver is 'bounded below US nominal GDP growth'; that reads as an inversion of the standard Gordon ceiling (a perpetuity cannot grow faster than nominal GDP forever), so it is implemented here as an UPPER bound. reviewer ruling requested.</t>
  </si>
  <si>
    <t>Market Share Price (Snapshot Close)</t>
  </si>
  <si>
    <t>MKT snapshot as of 2026-09-02 via stockanalysis.com: official closing price $157.85 (open 156.24, high 158.47, low 154.30, volume 1,294,851). 2026-09-02 is the last COMPLETED trading session close; 2026-09-03 intraday print is excluded per the driver's close-only convention and disclosed as such. Scenario deltas remain 0: benchmark price immobility rationale unchanged.</t>
  </si>
  <si>
    <t>Diluted Shares Outstanding</t>
  </si>
  <si>
    <t>MKT snapshot as of 2026-08-06 from the latest cited filing - Duolingo, Inc. Form 10-Q for the quarter ended 2026-06-30 (accession 0001628280-26-053603, filed 2026-08-06), Note 11 Earnings Per Share: 'Denominator for dilutive net income per common share - weighted-average shares' = 50,031 thousand for the three months ended June 30, 2026, i.e. 50,031,000 diluted shares. Diluted (not basic) is used because a DCF values the whole enterprise, including the dilutive effect of outstanding equity awards. Cross-check: the same filing's cover page reports basic shares outstanding of 40,387,012 Class A + 6,399,257 Class B = 46,786,269 as of August 4, 2026; the ~3.24M gap is treasury-stock-method dilution. Scenario deltas are 0: the share count is a filing fact, not an operating-scenario variable. Held constant across the forecast horizon - the P4 contract sanctions no share-count forecast driver.</t>
  </si>
  <si>
    <t>SBC Issuance Price (Frozen)</t>
  </si>
  <si>
    <t>FROZEN issuance reference price for share issuance (SBC / issuance price). P10.3 contract: the benchmark is a benchmark-only input and must never move share issuance, terminal dilution, or intrinsic per-share value, so issuance uses this separate frozen driver. Provenance: MKT snapshot as of 2026-09-02 via stockanalysis.com, official closing price .85. Held constant across all three scenarios (deltas 0) because issuance is a share-count mechanic, not a valuation input.</t>
  </si>
  <si>
    <t>Growth Fade Shape</t>
  </si>
  <si>
    <t>linear</t>
  </si>
  <si>
    <t>EST judgment per Phase 9 FP.B: Linear fade trajectory for the FY2031–FY2035 glide stage (v1; geometric named as future extension, not a silent alternative).</t>
  </si>
  <si>
    <t>STAGE STRUCTURE (DCF VALUATION HORIZON)</t>
  </si>
  <si>
    <t>Stage 1 (Explicit Forecast) — Periods</t>
  </si>
  <si>
    <t>5 explicit operating projection periods</t>
  </si>
  <si>
    <t>Stage 1 — First Period</t>
  </si>
  <si>
    <t>FY2026</t>
  </si>
  <si>
    <t>First explicit forecast year</t>
  </si>
  <si>
    <t>Stage 1 — Last Period</t>
  </si>
  <si>
    <t>FY2030</t>
  </si>
  <si>
    <t>Last explicit forecast year</t>
  </si>
  <si>
    <t>Stage 1 — Last Calendar Year (Numeric)</t>
  </si>
  <si>
    <t>Enables numeric adjacency check</t>
  </si>
  <si>
    <t>Stage 2 (Fade Glide) — Periods</t>
  </si>
  <si>
    <t>5-year linear glide to mature industry steady-state</t>
  </si>
  <si>
    <t>Stage 2 — First Period</t>
  </si>
  <si>
    <t>FY2031</t>
  </si>
  <si>
    <t>First fade transition period</t>
  </si>
  <si>
    <t>Stage 2 — Last Period</t>
  </si>
  <si>
    <t>FY2035</t>
  </si>
  <si>
    <t>Terminal basis forecast year</t>
  </si>
  <si>
    <t>Stage 2 — First Calendar Year (Numeric)</t>
  </si>
  <si>
    <t>Stage 3 (Terminal Steady-State) — Basis</t>
  </si>
  <si>
    <t>Gordon Perpetuity on FY2035</t>
  </si>
  <si>
    <t>Gordon steady-state growth applied to normalized FCFF</t>
  </si>
  <si>
    <t>MODEL CONTROLS &amp; AUDIT TOLERANCES</t>
  </si>
  <si>
    <t>Active Operating Scenario</t>
  </si>
  <si>
    <t>Control_Scenario</t>
  </si>
  <si>
    <t>Scenario selection switch (base / bull / bear)</t>
  </si>
  <si>
    <t>Footing &amp; Audit Tolerance ($000s)</t>
  </si>
  <si>
    <t>Tolerance_USD</t>
  </si>
  <si>
    <t>All OK/BREAK audit gates turn on deviations exceeding $1,000 thousand</t>
  </si>
  <si>
    <t>Per-Share Rounding Tolerance</t>
  </si>
  <si>
    <t>Tolerance_PerShare</t>
  </si>
  <si>
    <t>Per-share tie-out threshold ($0.01/sh)</t>
  </si>
  <si>
    <t>EBITDA Bridge C2 Bound Ratio</t>
  </si>
  <si>
    <t>Bound_C2_PCT</t>
  </si>
  <si>
    <t>7.50% of period revenue maximum bound for |bridge residual|</t>
  </si>
  <si>
    <t>STREET FORMATTING EXCEPTION REGISTER</t>
  </si>
  <si>
    <t>Rate Rows (4-decimal precision)</t>
  </si>
  <si>
    <t>WACC, Risk-Free Rate, ERP, Terminal Growth, Tax Rate</t>
  </si>
  <si>
    <t>Retain 4 decimal places (0.0000%) so valuation rate inputs are transparent without rounding distortion.</t>
  </si>
  <si>
    <t>Count Rows (No Currency Symbol)</t>
  </si>
  <si>
    <t>Diluted Shares, DAUs, MAUs, Paid Subscribers</t>
  </si>
  <si>
    <t>Formatted as numeric counts (#,##0) rather than currency.</t>
  </si>
  <si>
    <t>Day &amp; Multiple Counts</t>
  </si>
  <si>
    <t>DSO Days, DPO Days, Beta Multiple</t>
  </si>
  <si>
    <t>Formatted as integer days or multiple suffixes (0.00x) rather than monetary amounts.</t>
  </si>
  <si>
    <t>Per-Share Share Prices</t>
  </si>
  <si>
    <t>Market Share Price, Intrinsic Value Per Share, Issuance Price</t>
  </si>
  <si>
    <t>Formatted with cents ($#,##0.00) rather than whole-dollar accounting format.</t>
  </si>
  <si>
    <t>Color Code Standard</t>
  </si>
  <si>
    <t>Blue = Hardcode Input; Black = Calculation; Green = Link</t>
  </si>
  <si>
    <t>Strict adherence to Wall Street modeling standards across all sheets. In hybrid period FY2026, totals and schedule outputs combining cited H1 actuals and modeled H2 components render in black (calculation); pure forward forecast links render in green.</t>
  </si>
  <si>
    <t>Duolingo, Inc. — Historical Financial Statements &amp; Operating Data</t>
  </si>
  <si>
    <t>Reported actuals FY2021–FY2025 (Annual 10-K) and interim periods 9M FY2025, 6M FY2026, Q3 FY2025, Q1 FY2026, Q2 FY2026 (10-Q).</t>
  </si>
  <si>
    <t>Blue = cited actuals from SEC filings; Black = formula; Dash = not reported in filing. Check rows turn on footing breach.</t>
  </si>
  <si>
    <t>Metric ($ in thousands as reported)</t>
  </si>
  <si>
    <t>FY2021</t>
  </si>
  <si>
    <t>FY2022</t>
  </si>
  <si>
    <t>FY2023</t>
  </si>
  <si>
    <t>FY2024</t>
  </si>
  <si>
    <t>FY2025</t>
  </si>
  <si>
    <t>9M FY2025</t>
  </si>
  <si>
    <t>6M FY2026</t>
  </si>
  <si>
    <t>Q3 FY2025</t>
  </si>
  <si>
    <t>Q1 FY2026</t>
  </si>
  <si>
    <t>Q2 FY2026</t>
  </si>
  <si>
    <t>SEC Citation / Source</t>
  </si>
  <si>
    <t>INCOME STATEMENT — As Reported ($000s)</t>
  </si>
  <si>
    <t>Subscription revenue</t>
  </si>
  <si>
    <t>–</t>
  </si>
  <si>
    <t>Form 10-K / 10-Q Item 1</t>
  </si>
  <si>
    <t>Advertising revenue</t>
  </si>
  <si>
    <t>Duolingo English Test revenue</t>
  </si>
  <si>
    <t>In-App Purchases revenue</t>
  </si>
  <si>
    <t>Other revenue</t>
  </si>
  <si>
    <t>Total revenues</t>
  </si>
  <si>
    <t>Cost of revenues</t>
  </si>
  <si>
    <t>Gross profit</t>
  </si>
  <si>
    <t>Research and development</t>
  </si>
  <si>
    <t>Sales and marketing</t>
  </si>
  <si>
    <t>General and administrative</t>
  </si>
  <si>
    <t>Total operating expenses</t>
  </si>
  <si>
    <t>Income (loss) from operations</t>
  </si>
  <si>
    <t>Other income</t>
  </si>
  <si>
    <t>Other expense</t>
  </si>
  <si>
    <t>Other income (expense), net</t>
  </si>
  <si>
    <t>Interest income</t>
  </si>
  <si>
    <t>Income (loss) before income taxes</t>
  </si>
  <si>
    <t>Provision for (benefit from) income taxes</t>
  </si>
  <si>
    <t>Net income (loss)</t>
  </si>
  <si>
    <t>Amortization expense (disclosed)</t>
  </si>
  <si>
    <t>BALANCE SHEET — As Reported ($000s)</t>
  </si>
  <si>
    <t>Cash and cash equivalents</t>
  </si>
  <si>
    <t>Accounts receivable</t>
  </si>
  <si>
    <t>Deferred cost of revenues</t>
  </si>
  <si>
    <t>Prepaid expenses and other current assets</t>
  </si>
  <si>
    <t>Total current assets</t>
  </si>
  <si>
    <t>Operating lease right-of-use assets</t>
  </si>
  <si>
    <t>Property and equipment, net</t>
  </si>
  <si>
    <t>Intangible assets, net</t>
  </si>
  <si>
    <t>Goodwill</t>
  </si>
  <si>
    <t>Short-term investments</t>
  </si>
  <si>
    <t>Long-term investments</t>
  </si>
  <si>
    <t>Other non-current assets</t>
  </si>
  <si>
    <t>Total assets</t>
  </si>
  <si>
    <t>Accounts payable</t>
  </si>
  <si>
    <t>Accrued expenses and other current liabilities</t>
  </si>
  <si>
    <t>Deferred revenue, current</t>
  </si>
  <si>
    <t>Income taxes payable</t>
  </si>
  <si>
    <t>Total current liabilities</t>
  </si>
  <si>
    <t>Operating lease liabilities, non-current</t>
  </si>
  <si>
    <t>Deferred revenue, non-current</t>
  </si>
  <si>
    <t>Total liabilities</t>
  </si>
  <si>
    <t>Common stock</t>
  </si>
  <si>
    <t>Additional paid-in capital</t>
  </si>
  <si>
    <t>Accumulated other comprehensive income (loss)</t>
  </si>
  <si>
    <t>Retained earnings (accumulated deficit)</t>
  </si>
  <si>
    <t>Total stockholders' equity</t>
  </si>
  <si>
    <t>Total liabilities and stockholders' equity</t>
  </si>
  <si>
    <t>Restricted cash (disclosed Note 2)</t>
  </si>
  <si>
    <t>CASH FLOW STATEMENT — As Reported ($000s)</t>
  </si>
  <si>
    <t>Net cash provided by (used in) operating activities</t>
  </si>
  <si>
    <t>Depreciation and amortization</t>
  </si>
  <si>
    <t>Stock-based compensation</t>
  </si>
  <si>
    <t>Net cash provided by (used in) investing activities</t>
  </si>
  <si>
    <t>Purchases of property and equipment</t>
  </si>
  <si>
    <t>Capitalization of software and website development costs</t>
  </si>
  <si>
    <t>Net cash provided by (used in) financing activities</t>
  </si>
  <si>
    <t>Net increase (decrease) in cash, cash equivalents and restricted cash</t>
  </si>
  <si>
    <t>Cash, cash equivalents and restricted cash, beginning of period</t>
  </si>
  <si>
    <t>Cash, cash equivalents and restricted cash, end of period</t>
  </si>
  <si>
    <t>OPERATING KPIS — As Reported</t>
  </si>
  <si>
    <t>Daily active users (DAU)</t>
  </si>
  <si>
    <t>Shareholder Letter / Item 2</t>
  </si>
  <si>
    <t>Monthly active users (MAU)</t>
  </si>
  <si>
    <t>Paid subscribers</t>
  </si>
  <si>
    <t>ADJUSTED EBITDA RECONCILIATION &amp; BRIDGE ($000s)</t>
  </si>
  <si>
    <t>(–) Interest income</t>
  </si>
  <si>
    <t>(+) Income tax expense</t>
  </si>
  <si>
    <t>(+) Depreciation &amp; amortization</t>
  </si>
  <si>
    <t>(+) Stock-based compensation</t>
  </si>
  <si>
    <t>Subtotal (Disclosed Core Adjustments)</t>
  </si>
  <si>
    <t>Adjusted EBITDA (Cited in Filings)</t>
  </si>
  <si>
    <t>(+) Other Adjustments (Computed Residual)</t>
  </si>
  <si>
    <t>Check: Subtotal + Other Adjustments = Cited EBITDA</t>
  </si>
  <si>
    <t>STATEMENT INTEGRITY CHECKS (AUDIT GATES)</t>
  </si>
  <si>
    <t>Balance Sheet Balance: Total Assets = Total Liabilities &amp; Equity</t>
  </si>
  <si>
    <t>Cash Roll Balance: CF Ending Cash = BS Cash + Restricted Cash</t>
  </si>
  <si>
    <t>Duolingo, Inc. — Revenue &amp; Bookings Build (Operating Schedules)</t>
  </si>
  <si>
    <t>Phase 13 Institutional Street Model — User model, segment recognized revenue, subscription bookings bridge, deferred revenue roll-forward</t>
  </si>
  <si>
    <t>One continuous flow: User model -&gt; Recognized revenue by segment -&gt; Bookings bridge -&gt; Deferred revenue roll-forward. All driver inputs reference 01_Assumptions.</t>
  </si>
  <si>
    <t>Line Item / Build Schedule</t>
  </si>
  <si>
    <t>FY2027</t>
  </si>
  <si>
    <t>FY2028</t>
  </si>
  <si>
    <t>FY2029</t>
  </si>
  <si>
    <t>Driver / Basis</t>
  </si>
  <si>
    <t>USER &amp; SUBSCRIBER MODEL (Stage 1 explicit forecast FY2026–FY2030)</t>
  </si>
  <si>
    <t>Paid subscribers — beginning (BOP)</t>
  </si>
  <si>
    <t>Prior period ending</t>
  </si>
  <si>
    <t>FY2025 ending paid subscribers cited from SEC Form 10-K</t>
  </si>
  <si>
    <t>Paid subscribers — ending (EOP)</t>
  </si>
  <si>
    <t>Paid subscriber growth rate</t>
  </si>
  <si>
    <t>FY2026-FY2027 engine seam; FY2028-FY2030 projected at 18.39% growth driver</t>
  </si>
  <si>
    <t>Paid subscribers — average</t>
  </si>
  <si>
    <t>Average(BOP, EOP)</t>
  </si>
  <si>
    <t>Net subscriber additions</t>
  </si>
  <si>
    <t>EOP − BOP</t>
  </si>
  <si>
    <t>Subscriber growth rate % (YoY)</t>
  </si>
  <si>
    <t>EOP growth YoY</t>
  </si>
  <si>
    <t>Conversion rate memo: Paid subscribers ÷ MAU (FY2025 cited baseline)</t>
  </si>
  <si>
    <t>FY2025 baseline memo</t>
  </si>
  <si>
    <t>Engagement memo: DAU ÷ MAU (FY2025 cited baseline)</t>
  </si>
  <si>
    <t>RECOGNIZED REVENUE BUILD (FY2026 hybrid seam; FY2027 annualization; FY2028–FY2030 driver growth)</t>
  </si>
  <si>
    <t xml:space="preserve"> Subscription revenue — H1 actual (Q1+Q2 cited)</t>
  </si>
  <si>
    <t>$ in thousands</t>
  </si>
  <si>
    <t>SEC Form 10-Q filed actuals (Q1 + Q2 FY2026)</t>
  </si>
  <si>
    <t xml:space="preserve"> Subscription revenue — H2 implied (engine projection)</t>
  </si>
  <si>
    <t>Engine H2 implied run-rate forecast</t>
  </si>
  <si>
    <t xml:space="preserve"> Subscription revenue — FY2027 seam growth rate</t>
  </si>
  <si>
    <t>Seam transition %</t>
  </si>
  <si>
    <t>Engine hybrid annualization seam growth rate</t>
  </si>
  <si>
    <t>Core Super Duolingo &amp; Duolingo Max subscriptions</t>
  </si>
  <si>
    <t xml:space="preserve"> Engine cross-check: Subscription revenue</t>
  </si>
  <si>
    <t>Engine leg tie</t>
  </si>
  <si>
    <t xml:space="preserve"> Residual check: Subscription revenue (OK/BREAK)</t>
  </si>
  <si>
    <t xml:space="preserve"> Advertising revenue — H1 actual (Q1+Q2 cited)</t>
  </si>
  <si>
    <t xml:space="preserve"> Advertising revenue — H2 implied (engine projection)</t>
  </si>
  <si>
    <t xml:space="preserve"> Advertising revenue — FY2027 seam growth rate</t>
  </si>
  <si>
    <t>Advertising revenue growth rate</t>
  </si>
  <si>
    <t>Programmatic display &amp; video advertising</t>
  </si>
  <si>
    <t xml:space="preserve"> Engine cross-check: Advertising revenue</t>
  </si>
  <si>
    <t xml:space="preserve"> Residual check: Advertising revenue (OK/BREAK)</t>
  </si>
  <si>
    <t xml:space="preserve"> Duolingo English Test (DET) — H1 actual (Q1+Q2 cited)</t>
  </si>
  <si>
    <t xml:space="preserve"> Duolingo English Test (DET) — H2 implied (engine projection)</t>
  </si>
  <si>
    <t xml:space="preserve"> Duolingo English Test (DET) — FY2027 seam growth rate</t>
  </si>
  <si>
    <t>Duolingo English Test (DET)</t>
  </si>
  <si>
    <t>DET revenue growth rate</t>
  </si>
  <si>
    <t>Online English proficiency assessment certifications</t>
  </si>
  <si>
    <t xml:space="preserve"> Engine cross-check: Duolingo English Test (DET)</t>
  </si>
  <si>
    <t xml:space="preserve"> Residual check: Duolingo English Test (DET) (OK/BREAK)</t>
  </si>
  <si>
    <t xml:space="preserve"> In-app purchases (IAP) — H1 actual (Q1+Q2 cited)</t>
  </si>
  <si>
    <t xml:space="preserve"> In-app purchases (IAP) — H2 implied (engine projection)</t>
  </si>
  <si>
    <t xml:space="preserve"> In-app purchases (IAP) — FY2027 seam growth rate</t>
  </si>
  <si>
    <t>In-app purchases (IAP)</t>
  </si>
  <si>
    <t>IAP revenue growth rate</t>
  </si>
  <si>
    <t>Virtual gems, streak freezes, and consumable game items</t>
  </si>
  <si>
    <t xml:space="preserve"> Engine cross-check: In-app purchases (IAP)</t>
  </si>
  <si>
    <t xml:space="preserve"> Residual check: In-app purchases (IAP) (OK/BREAK)</t>
  </si>
  <si>
    <t xml:space="preserve"> Other revenue — H1 actual (Q1+Q2 cited)</t>
  </si>
  <si>
    <t xml:space="preserve"> Other revenue — H2 implied (engine projection)</t>
  </si>
  <si>
    <t xml:space="preserve"> Other revenue — FY2027 seam growth rate</t>
  </si>
  <si>
    <t>Other revenue growth rate</t>
  </si>
  <si>
    <t>Gear, partnership licensing, and enterprise programs</t>
  </si>
  <si>
    <t xml:space="preserve"> Engine cross-check: Other revenue</t>
  </si>
  <si>
    <t xml:space="preserve"> Residual check: Other revenue (OK/BREAK)</t>
  </si>
  <si>
    <t>REVENUE TOTAL</t>
  </si>
  <si>
    <t>Sum of segments</t>
  </si>
  <si>
    <t>Consolidated total revenue across all operating streams</t>
  </si>
  <si>
    <t>Total revenue YoY growth %</t>
  </si>
  <si>
    <t>Consolidated YoY %</t>
  </si>
  <si>
    <t>SUBSCRIPTION BOOKINGS BRIDGE (Recognized revenue + Change in deferred revenue)</t>
  </si>
  <si>
    <t>Recognized subscription revenue</t>
  </si>
  <si>
    <t>Subscription schedule</t>
  </si>
  <si>
    <t>Change in deferred revenue (ΔDR)</t>
  </si>
  <si>
    <t>EOP DR − BOP DR</t>
  </si>
  <si>
    <t>Subscription bookings (implied)</t>
  </si>
  <si>
    <t>Revenue + ΔDR</t>
  </si>
  <si>
    <t>Implied bookings that fund deferred additions in the roll-forward below</t>
  </si>
  <si>
    <t>DEFERRED REVENUE ROLL-FORWARD (Opening + Additions − Recognition = Ending)</t>
  </si>
  <si>
    <t>Deferred revenue — opening balance (BOP)</t>
  </si>
  <si>
    <t>Additions — deferrals on subscription bookings (implied)</t>
  </si>
  <si>
    <t>Subscription bookings</t>
  </si>
  <si>
    <t>Recognition — deferred revenue recognized</t>
  </si>
  <si>
    <t>Deferred revenue — ending balance (roll-derived)</t>
  </si>
  <si>
    <t>BOP + Add − Rec</t>
  </si>
  <si>
    <t>Deferred revenue — ending balance (driver target: Assumption_deferred_revenue_pct_revenue)</t>
  </si>
  <si>
    <t>Deferred revenue target % of revenue</t>
  </si>
  <si>
    <t>Driver rate (47.82% of consolidated revenue)</t>
  </si>
  <si>
    <t>AUDIT &amp; INTEGRITY CHECK LEDGER</t>
  </si>
  <si>
    <t>Foot check: Roll-derived ending = Driver target ending (OK/BREAK)</t>
  </si>
  <si>
    <t>Parity check: Consolidated revenue = Engine total (OK/BREAK)</t>
  </si>
  <si>
    <t>Duolingo, Inc. — Cost of Revenues &amp; Operating Expenses Build</t>
  </si>
  <si>
    <t>Phase 13 Institutional Street Model — Cost of revenue, gross profit, R&amp;D, S&amp;M, G&amp;A, SBC functional breakout, operating margins</t>
  </si>
  <si>
    <t>FY2026 is hybrid: H1 cited actuals (Q1+Q2) + H2 modeled at driver rate on H2 revenue (RevTotal_FY2026 - H1 revenue). FY2027+ modeled at full-year driver rates on RevTotal.</t>
  </si>
  <si>
    <t>HYBRID PROVENANCE — FY2026 H1 Actuals (Q1+Q2 cited from SEC Form 10-Q)</t>
  </si>
  <si>
    <t>Cost of revenues — H1 actual (Q1+Q2 cited)</t>
  </si>
  <si>
    <t>SEC 10-Q filed actuals (Q1 $76,143k + Q2 $84,442k)</t>
  </si>
  <si>
    <t>R&amp;D expense — H1 actual (Q1+Q2 cited)</t>
  </si>
  <si>
    <t>SEC 10-Q filed actuals (Q1 $84,651k + Q2 $90,518k)</t>
  </si>
  <si>
    <t>S&amp;M expense — H1 actual (Q1+Q2 cited)</t>
  </si>
  <si>
    <t>SEC 10-Q filed actuals (Q1 $37,848k + Q2 $41,408k)</t>
  </si>
  <si>
    <t>G&amp;A expense — H1 actual (Q1+Q2 cited)</t>
  </si>
  <si>
    <t>SEC 10-Q filed actuals (Q1 $47,605k + Q2 $49,334k)</t>
  </si>
  <si>
    <t>Other income, net — H1 actual (Q1+Q2 cited)</t>
  </si>
  <si>
    <t>SEC 10-Q filed actuals (Q1 -$2,042k + Q2 $846k)</t>
  </si>
  <si>
    <t>Revenue total — H1 actual (Q1+Q2 cited)</t>
  </si>
  <si>
    <t>SEC 10-Q filed actuals (Q1 $281,424k + Q2 $308,997k)</t>
  </si>
  <si>
    <t>COST OF REVENUES &amp; GROSS PROFIT SCHEDULE</t>
  </si>
  <si>
    <t>Cost of revenue % of revenue (27.77%)</t>
  </si>
  <si>
    <t>Hosting, payment processing fees, and customer support (27.77% driver)</t>
  </si>
  <si>
    <t>Cost of revenues % of revenue</t>
  </si>
  <si>
    <t>% of RevTotal</t>
  </si>
  <si>
    <t>RevTotal − CostOfRev</t>
  </si>
  <si>
    <t>Gross profit = Total revenue − Cost of revenues</t>
  </si>
  <si>
    <t>Gross margin %</t>
  </si>
  <si>
    <t>Gross Profit ÷ RevTotal</t>
  </si>
  <si>
    <t>OPERATING EXPENSES (R&amp;D, S&amp;M, G&amp;A) &amp; OPERATING INCOME</t>
  </si>
  <si>
    <t>Research &amp; development (R&amp;D)</t>
  </si>
  <si>
    <t>R&amp;D % of revenue (29.52%)</t>
  </si>
  <si>
    <t>Engineering, product design, ML-cloud model development</t>
  </si>
  <si>
    <t>R&amp;D % of revenue</t>
  </si>
  <si>
    <t>Sales &amp; marketing (S&amp;M)</t>
  </si>
  <si>
    <t>S&amp;M % of revenue (12.11%)</t>
  </si>
  <si>
    <t>Performance marketing, brand campaigns, creator partnerships</t>
  </si>
  <si>
    <t>S&amp;M % of revenue</t>
  </si>
  <si>
    <t>General &amp; administrative (G&amp;A)</t>
  </si>
  <si>
    <t>G&amp;A % of revenue (17.53%)</t>
  </si>
  <si>
    <t>Executive, legal, finance, HR, corporate infrastructure</t>
  </si>
  <si>
    <t>G&amp;A % of revenue</t>
  </si>
  <si>
    <t>R&amp;D + S&amp;M + G&amp;A</t>
  </si>
  <si>
    <t>Total non-GAAP and GAAP operating expenses</t>
  </si>
  <si>
    <t>Total opex % of revenue</t>
  </si>
  <si>
    <t>Operating income (EBIT)</t>
  </si>
  <si>
    <t>Gross Profit − Total Opex</t>
  </si>
  <si>
    <t>Operating income = Gross profit − Total operating expenses</t>
  </si>
  <si>
    <t>Operating margin %</t>
  </si>
  <si>
    <t>Operating Income ÷ RevTotal</t>
  </si>
  <si>
    <t>Other income, net</t>
  </si>
  <si>
    <t>Other income % of revenue (0.16%)</t>
  </si>
  <si>
    <t>Foreign exchange gains/losses and non-operating transactions (0.16% driver)</t>
  </si>
  <si>
    <t>ML-cloud infrastructure costs (disclosed note)</t>
  </si>
  <si>
    <t>Embedded in COGS / R&amp;D</t>
  </si>
  <si>
    <t>ML-cloud compute infrastructure recognized in Cost of Revenues and R&amp;D</t>
  </si>
  <si>
    <t>STOCK-BASED COMPENSATION FUNCTIONAL BREAKOUT (MEMO)</t>
  </si>
  <si>
    <t>Total SBC expense (memo; linked to 06_SBC_Tax_Shares)</t>
  </si>
  <si>
    <t>linked SBC for the period</t>
  </si>
  <si>
    <t>Total stock-based compensation expense projected on 06_SBC_Tax_Shares</t>
  </si>
  <si>
    <t>Total SBC % of revenue</t>
  </si>
  <si>
    <t xml:space="preserve"> Cost of revenues SBC (memo allocation)</t>
  </si>
  <si>
    <t>2% allocation</t>
  </si>
  <si>
    <t>Historical functional allocation (~2%)</t>
  </si>
  <si>
    <t xml:space="preserve"> R&amp;D expense SBC (memo allocation)</t>
  </si>
  <si>
    <t>68% allocation</t>
  </si>
  <si>
    <t>Historical functional allocation (~68%)</t>
  </si>
  <si>
    <t xml:space="preserve"> S&amp;M expense SBC (memo allocation)</t>
  </si>
  <si>
    <t>12% allocation</t>
  </si>
  <si>
    <t>Historical functional allocation (~12%)</t>
  </si>
  <si>
    <t xml:space="preserve"> G&amp;A expense SBC (memo allocation)</t>
  </si>
  <si>
    <t>18% allocation</t>
  </si>
  <si>
    <t>Historical functional allocation (~18%)</t>
  </si>
  <si>
    <t>Gross profit footing check: RevTotal − CostOfRev = Gross Profit (OK/BREAK)</t>
  </si>
  <si>
    <t>Operating income footing check: Gross Profit − Total Opex = Operating Income (OK/BREAK)</t>
  </si>
  <si>
    <t>Engine Gross profit parity check (tolerance &lt;= $1k; OK/BREAK)</t>
  </si>
  <si>
    <t>Engine Operating income parity check (tolerance &lt;= $1k; OK/BREAK)</t>
  </si>
  <si>
    <t>Duolingo, Inc. — Working Capital &amp; Capex / D&amp;A Schedules</t>
  </si>
  <si>
    <t>Phase 13 Institutional Street Model — Operating working capital, day drivers, capex roll-forwards, PP&amp;E and intangible depreciation schedules</t>
  </si>
  <si>
    <t>All working capital asset and liability lines linked to revenue drivers. Deferred revenue linked to 03_Revenue EOP balance. Capex &amp; D&amp;A drive PP&amp;E and intangible asset roll-forwards.</t>
  </si>
  <si>
    <t>Line Item / Schedule</t>
  </si>
  <si>
    <t>OPERATING ASSETS (WORKING CAPITAL ASSETS)</t>
  </si>
  <si>
    <t>Accounts receivable (AR)</t>
  </si>
  <si>
    <t>DSO days (57.28 days)</t>
  </si>
  <si>
    <t>Receivables from Apple App Store, Google Play, and advertising networks</t>
  </si>
  <si>
    <t>Deferred cost % of revenue (9.89%)</t>
  </si>
  <si>
    <t>Deferred third-party payment processing fees capitalized and amortized</t>
  </si>
  <si>
    <t>Prepaid expenses</t>
  </si>
  <si>
    <t>Prepaid expenses % of revenue (1.60%)</t>
  </si>
  <si>
    <t>Prepaid software licenses, cloud capacity, insurance, and vendor retainers</t>
  </si>
  <si>
    <t>Income tax receivable</t>
  </si>
  <si>
    <t>Income tax receivable % of revenue (1.36%)</t>
  </si>
  <si>
    <t>Prepaid income taxes and tax credits receivable</t>
  </si>
  <si>
    <t>Total working capital assets</t>
  </si>
  <si>
    <t>Sum of operating assets</t>
  </si>
  <si>
    <t>Sum of AR, deferred costs, prepaids, and tax receivable</t>
  </si>
  <si>
    <t>OPERATING LIABILITIES (WORKING CAPITAL LIABILITIES)</t>
  </si>
  <si>
    <t>Deferred revenues</t>
  </si>
  <si>
    <t>Deferred revenue ending balance (47.82%)</t>
  </si>
  <si>
    <t>Linked directly to 03_Revenue deferred roll-forward ending balance</t>
  </si>
  <si>
    <t>DPO days (10.13 days)</t>
  </si>
  <si>
    <t>Trade payables driven by DPO days on Cost of Revenues (matches engine basis)</t>
  </si>
  <si>
    <t>Accrued expenses &amp; other current liabilities</t>
  </si>
  <si>
    <t>Accrued expenses % of revenue (4.40%)</t>
  </si>
  <si>
    <t>Accrued compensation, bonuses, marketing commitments, and operating obligations</t>
  </si>
  <si>
    <t>Income tax payable</t>
  </si>
  <si>
    <t>Income tax payable % of revenue (0.12%)</t>
  </si>
  <si>
    <t>Current tax obligations payable to tax authorities</t>
  </si>
  <si>
    <t>Total working capital liabilities</t>
  </si>
  <si>
    <t>Sum of operating liabilities</t>
  </si>
  <si>
    <t>Sum of deferred revenues, AP, accrued expenses, and tax payable</t>
  </si>
  <si>
    <t>NET WORKING CAPITAL (NWC)</t>
  </si>
  <si>
    <t>Net working capital (NWC)</t>
  </si>
  <si>
    <t>WC Assets − WC Liabilities</t>
  </si>
  <si>
    <t>Negative NWC reflects highly efficient negative cash conversion cycle</t>
  </si>
  <si>
    <t>CAPITAL EXPENDITURES (CAPEX) &amp; SOFTWARE CAPITALIZATION</t>
  </si>
  <si>
    <t>Capex — PP&amp;E (property and equipment)</t>
  </si>
  <si>
    <t>Capex PP&amp;E % of revenue (1.74%)</t>
  </si>
  <si>
    <t>Office equipment, leasehold improvements, and facility investments</t>
  </si>
  <si>
    <t>Capitalized software development costs</t>
  </si>
  <si>
    <t>Capitalized software % of revenue (0.90%)</t>
  </si>
  <si>
    <t>Capitalization of internal-use software development costs under ASC 350-40</t>
  </si>
  <si>
    <t>Total capital expenditures</t>
  </si>
  <si>
    <t>PP&amp;E Capex + Cap Software</t>
  </si>
  <si>
    <t>Total cash and capitalized investments</t>
  </si>
  <si>
    <t>Check: total capex vs Assumption_capex_total_pct_revenue (OK/BREAK)</t>
  </si>
  <si>
    <t>DEPRECIATION &amp; AMORTIZATION (D&amp;A) SCHEDULE</t>
  </si>
  <si>
    <t>Depreciation expense (PP&amp;E)</t>
  </si>
  <si>
    <t>Depreciation % of revenue (0.50%)</t>
  </si>
  <si>
    <t>Straight-line depreciation of office equipment and facilities</t>
  </si>
  <si>
    <t>Amortization expense (Intangibles &amp; Capitalized Software)</t>
  </si>
  <si>
    <t>Amortization % of revenue (0.89%)</t>
  </si>
  <si>
    <t>Amortization of capitalized software additions and intangible assets</t>
  </si>
  <si>
    <t>Total depreciation &amp; amortization (D&amp;A)</t>
  </si>
  <si>
    <t>Depreciation + Amortization</t>
  </si>
  <si>
    <t>Total non-cash depreciation and amortization expense</t>
  </si>
  <si>
    <t>PROPERTY &amp; EQUIPMENT (PP&amp;E, NET) ROLL-FORWARD</t>
  </si>
  <si>
    <t>PP&amp;E, net — opening balance (BOP)</t>
  </si>
  <si>
    <t>Additions — capital expenditures (PP&amp;E)</t>
  </si>
  <si>
    <t>Capex PP&amp;E schedule</t>
  </si>
  <si>
    <t>Less: Depreciation expense</t>
  </si>
  <si>
    <t>Depreciation schedule</t>
  </si>
  <si>
    <t>PP&amp;E, net — closing balance (EOP)</t>
  </si>
  <si>
    <t>BOP + Capex − Deprec</t>
  </si>
  <si>
    <t>Net property and equipment closing balance</t>
  </si>
  <si>
    <t>INTANGIBLE ASSETS &amp; CAPITALIZED SOFTWARE (NET) ROLL-FORWARD</t>
  </si>
  <si>
    <t>Intangibles, net — opening balance (BOP)</t>
  </si>
  <si>
    <t>Additions — capitalized software development</t>
  </si>
  <si>
    <t>Capitalized software schedule</t>
  </si>
  <si>
    <t>Less: Amortization expense</t>
  </si>
  <si>
    <t>Amortization schedule</t>
  </si>
  <si>
    <t>Intangibles, net — closing balance (EOP)</t>
  </si>
  <si>
    <t>BOP + Software − Amort</t>
  </si>
  <si>
    <t>Net intangible assets closing balance</t>
  </si>
  <si>
    <t>NWC Asset footing check: Total WC assets = sum of components (OK/BREAK)</t>
  </si>
  <si>
    <t>NWC Liability footing check: Total WC liabilities = sum of components (OK/BREAK)</t>
  </si>
  <si>
    <t>PP&amp;E roll-forward check: Closing PP&amp;E = BOP + Capex − Deprec (OK/BREAK)</t>
  </si>
  <si>
    <t>Intangibles roll-forward check: Closing Intangibles = BOP + Add − Amort (OK/BREAK)</t>
  </si>
  <si>
    <t>Duolingo, Inc. — SBC, Share Dilution &amp; Income Tax Provision Schedules</t>
  </si>
  <si>
    <t>Phase 13 Institutional Street Model — Stock-based compensation expense, treasury stock method share bridge, income tax provision and effective rate analysis</t>
  </si>
  <si>
    <t>SBC modeled on revenue target rate with Stage 2 fade disclosure. Diluted shares anchored to Cover_SharesDiluted. Tax provision modeled on hybrid FY2026 actuals + effective tax rate on pretax income.</t>
  </si>
  <si>
    <t>STOCK-BASED COMPENSATION (SBC) SCHEDULE</t>
  </si>
  <si>
    <t>Stock-based compensation expense (target % of revenue)</t>
  </si>
  <si>
    <t>SBC target % of revenue (13.25%)</t>
  </si>
  <si>
    <t>Equity compensation expense projected at target rate of revenue in Stage 1</t>
  </si>
  <si>
    <t>SBC % of revenue check row</t>
  </si>
  <si>
    <t>Target: 13.25%</t>
  </si>
  <si>
    <t>Matches target assumption across explicit forecast horizon</t>
  </si>
  <si>
    <t>SBC Stage 2 fade terminal glide rate (memo disclosure)</t>
  </si>
  <si>
    <t>SBC terminal glide rate (8.00%)</t>
  </si>
  <si>
    <t>In Stage 2 (FY2031–FY2035), SBC expense fades linearly from 13.25% to 8.00% terminal rate</t>
  </si>
  <si>
    <t>SHARE DILUTION &amp; CAPITAL STRUCTURE BRIDGE</t>
  </si>
  <si>
    <t>Diluted common shares outstanding (point-in-time fully diluted)</t>
  </si>
  <si>
    <t>Fully diluted shares count</t>
  </si>
  <si>
    <t>Proceeds from stock option exercises (cited FY2025; held flat)</t>
  </si>
  <si>
    <t>Stock option proceeds ($12,570k)</t>
  </si>
  <si>
    <t>Financing cash flow from employee option exercises</t>
  </si>
  <si>
    <t>Taxes paid for net share settlement (cited FY2025; held flat)</t>
  </si>
  <si>
    <t>Net share settlement taxes ($41,617k outflow)</t>
  </si>
  <si>
    <t>Financing cash outflow for employee tax withholding on vested equity awards</t>
  </si>
  <si>
    <t>Repurchases of common stock (cited FY2025; held flat)</t>
  </si>
  <si>
    <t>Share repurchases ($139,206k outflow)</t>
  </si>
  <si>
    <t>Financing cash outflow for share repurchases under authorized buyback program</t>
  </si>
  <si>
    <t>Income tax expense — H1 actual (Q1+Q2 cited)</t>
  </si>
  <si>
    <t>SEC Form 10-Q filed actuals (Q1 $10,875k + Q2 $13,425k)</t>
  </si>
  <si>
    <t>Pretax income — H1 actual (Q1+Q2 cited)</t>
  </si>
  <si>
    <t>SEC Form 10-Q filed actuals (Q1 $47,422k + Q2 $53,496k)</t>
  </si>
  <si>
    <t>INCOME TAX PROVISION &amp; EFFECTIVE TAX RATE ANALYSIS</t>
  </si>
  <si>
    <t>Pretax income (linked from 07_IS Projected Income Statement)</t>
  </si>
  <si>
    <t>Pretax income linked dynamically from 07_IS (EBIT + Other Income + Solved Interest)</t>
  </si>
  <si>
    <t>Income tax provision (total tax line; no cash/deferred split modeled)</t>
  </si>
  <si>
    <t>Effective tax rate (13.42%)</t>
  </si>
  <si>
    <t>FY2026 hybrid provision; FY2027+ full-year rate on pretax income</t>
  </si>
  <si>
    <t>Realized effective tax rate % (full period; hybrid by construction)</t>
  </si>
  <si>
    <t>Tax ÷ Pretax</t>
  </si>
  <si>
    <t>Blended full-year effective tax rate</t>
  </si>
  <si>
    <t>H2 modeled rate check vs Assumption_effective_tax_rate (OK/BREAK)</t>
  </si>
  <si>
    <t>SBC target parity check: SBC expense = target % x RevTotal (OK/BREAK)</t>
  </si>
  <si>
    <t>Engine SBC parity check (tolerance &lt;= $1k; OK/BREAK)</t>
  </si>
  <si>
    <t>Engine Tax provision parity check (tolerance &lt;= $1k; OK/BREAK)</t>
  </si>
  <si>
    <t>Duolingo, Inc. — Projected Income Statement</t>
  </si>
  <si>
    <t>Integrated 3-Statement Income Statement (FY2026–FY2030) linked dynamically to 03_Revenue, 04_Costs, 06_SBC_Tax_Shares</t>
  </si>
  <si>
    <t>Driver / Formula</t>
  </si>
  <si>
    <t>REVENUE &amp; GROSS PROFIT</t>
  </si>
  <si>
    <t>Consolidated revenue</t>
  </si>
  <si>
    <t>linked RevTotal for the period</t>
  </si>
  <si>
    <t>Consolidated revenue linked dynamically from 03_Revenue</t>
  </si>
  <si>
    <t>Cost of revenues (exclusive of D&amp;A shown below)</t>
  </si>
  <si>
    <t>linked Cost of revenue for the period</t>
  </si>
  <si>
    <t>Cost of revenues linked dynamically from 04_Costs</t>
  </si>
  <si>
    <t>Revenue - Cost of Revenues</t>
  </si>
  <si>
    <t>Gross profit footed from revenue and cost lines</t>
  </si>
  <si>
    <t>Gross Profit ÷ Revenue</t>
  </si>
  <si>
    <t>Consolidated gross profit margin percentage</t>
  </si>
  <si>
    <t>OPERATING EXPENSES &amp; OPERATING INCOME (EBIT)</t>
  </si>
  <si>
    <t>linked R&amp;D for the period</t>
  </si>
  <si>
    <t>R&amp;D expenses linked from 04_Costs</t>
  </si>
  <si>
    <t>linked S&amp;M for the period</t>
  </si>
  <si>
    <t>S&amp;M expenses linked from 04_Costs</t>
  </si>
  <si>
    <t>linked G&amp;A for the period</t>
  </si>
  <si>
    <t>G&amp;A expenses linked from 04_Costs</t>
  </si>
  <si>
    <t>Total functional operating expenses footed</t>
  </si>
  <si>
    <t>Gross Profit - Total Opex</t>
  </si>
  <si>
    <t>Operating income (EBIT) before below-the-line items</t>
  </si>
  <si>
    <t>EBIT ÷ Revenue</t>
  </si>
  <si>
    <t>Operating profit margin percentage</t>
  </si>
  <si>
    <t>BELOW-THE-LINE ITEMS &amp; NET INCOME</t>
  </si>
  <si>
    <t>linked Other income for the period</t>
  </si>
  <si>
    <t>Net other income / (expense) linked from 04_Costs</t>
  </si>
  <si>
    <t>Solved interest income for the period</t>
  </si>
  <si>
    <t>Closed-form linear solve on average invested cash (no circularity)</t>
  </si>
  <si>
    <t>Pretax income (income before income taxes)</t>
  </si>
  <si>
    <t>EBIT + Other Income + Interest Income</t>
  </si>
  <si>
    <t>Income before provision for income taxes</t>
  </si>
  <si>
    <t>Provision for income taxes</t>
  </si>
  <si>
    <t>linked Tax provision for the period</t>
  </si>
  <si>
    <t>Income tax provision linked dynamically from 06_SBC_Tax_Shares</t>
  </si>
  <si>
    <t>Net income</t>
  </si>
  <si>
    <t>Pretax Income - Income Taxes</t>
  </si>
  <si>
    <t>Consolidated GAAP net income</t>
  </si>
  <si>
    <t>Net margin %</t>
  </si>
  <si>
    <t>Net Income ÷ Revenue</t>
  </si>
  <si>
    <t>Net profit margin percentage</t>
  </si>
  <si>
    <t>CLOSED-FORM LINEAR INTEREST SOLVE ON AVERAGE INVESTED CASH</t>
  </si>
  <si>
    <t>Opening cash for solve period (FY2026 = cited Q2 FY2026)</t>
  </si>
  <si>
    <t>Q2 FY2026 cash / Prior period ending cash</t>
  </si>
  <si>
    <t>Opening cash for interest solve period</t>
  </si>
  <si>
    <t>H1 filed operating income (hybrid actual, cited Form 10-Q)</t>
  </si>
  <si>
    <t>Form 10-Q Q1 $44,527k + Q2 $33,945k</t>
  </si>
  <si>
    <t>SEC Form 10-Q filed operating income actuals</t>
  </si>
  <si>
    <t>H1 filed other income, net (hybrid actual, cited Form 10-Q)</t>
  </si>
  <si>
    <t>Form 10-Q Q1 -$1,564k + Q2 $368k</t>
  </si>
  <si>
    <t>SEC Form 10-Q filed other income actuals</t>
  </si>
  <si>
    <t>Pre-interest operating income (FY2026 = H2 modeled)</t>
  </si>
  <si>
    <t>EBIT - H1 filed (FY26); EBIT (FY27+)</t>
  </si>
  <si>
    <t>Operating profit basis for cash flow solve</t>
  </si>
  <si>
    <t>Pre-interest other income (FY2026 = H2 modeled)</t>
  </si>
  <si>
    <t>Other - H1 filed (FY26); Other (FY27+)</t>
  </si>
  <si>
    <t>Other income basis for cash flow solve</t>
  </si>
  <si>
    <t>Pre-interest net income = (operating + other) x (1 - tax rate)</t>
  </si>
  <si>
    <t>(EBIT + Other) x (1 - TaxRate)</t>
  </si>
  <si>
    <t>Net operating profit after tax (NOPAT) basis</t>
  </si>
  <si>
    <t>D&amp;A add-back (statement leg / cash-flow basis)</t>
  </si>
  <si>
    <t>Depreciation + Amortization for the period</t>
  </si>
  <si>
    <t>Non-cash depreciation &amp; amortization add-back</t>
  </si>
  <si>
    <t>SBC add-back (statement leg / cash-flow basis)</t>
  </si>
  <si>
    <t>linked SBC for the period</t>
  </si>
  <si>
    <t>Non-cash stock-based compensation add-back</t>
  </si>
  <si>
    <t>Change in net working capital (FY2026 = H2 only)</t>
  </si>
  <si>
    <t>Change in NWC for the period</t>
  </si>
  <si>
    <t>Net working capital requirement cash outflow</t>
  </si>
  <si>
    <t>Pre-interest cash from operations</t>
  </si>
  <si>
    <t>NI + D&amp;A + SBC - ΔNWC</t>
  </si>
  <si>
    <t>Pre-interest operating cash flow</t>
  </si>
  <si>
    <t>Pre-interest cash from investing</t>
  </si>
  <si>
    <t>-(CapexPPE + CapSoft)</t>
  </si>
  <si>
    <t>Capital expenditures cash outflow</t>
  </si>
  <si>
    <t>Pre-interest cash from financing</t>
  </si>
  <si>
    <t>OptionBasis + SettlementBasis + BuybackBasis</t>
  </si>
  <si>
    <t>Financing cash flows basis</t>
  </si>
  <si>
    <t>Pre-interest change in cash</t>
  </si>
  <si>
    <t>Pre-interest OCF + ICF + CFF</t>
  </si>
  <si>
    <t>Pre-interest net change in cash</t>
  </si>
  <si>
    <t>Pre-interest ending cash</t>
  </si>
  <si>
    <t>Opening Cash + Pre-interest Change</t>
  </si>
  <si>
    <t>Pre-interest ending cash balance</t>
  </si>
  <si>
    <t>Opening invested cash (cash + short-term + long-term investments)</t>
  </si>
  <si>
    <t>Opening Cash + STI + LTI</t>
  </si>
  <si>
    <t>Invested liquidity opening stock</t>
  </si>
  <si>
    <t>Pre-interest average invested cash</t>
  </si>
  <si>
    <t>(BOP invested cash + EOP invested cash) ÷ 2</t>
  </si>
  <si>
    <t>Average invested cash across solve period</t>
  </si>
  <si>
    <t>Effective interest income rate applied (FY2026 = rate / 2)</t>
  </si>
  <si>
    <t>Annual interest income rate ÷ 2</t>
  </si>
  <si>
    <t>Effective periodic cash reinvestment rate</t>
  </si>
  <si>
    <t>Interest income solved on pre-interest average invested cash</t>
  </si>
  <si>
    <t>rate x avg ÷ (1 - rate x (1 - tax) / 2)</t>
  </si>
  <si>
    <t>Solved periodic interest income</t>
  </si>
  <si>
    <t>H1 filed interest income (hybrid actual, cited Form 10-Q)</t>
  </si>
  <si>
    <t>Form 10-Q Q1 $11,544k + Q2 $12,098k</t>
  </si>
  <si>
    <t>SEC Form 10-Q filed interest actuals</t>
  </si>
  <si>
    <t>Total interest income (H1 filed + solved interest)</t>
  </si>
  <si>
    <t>Solved + H1 Filed</t>
  </si>
  <si>
    <t>Full-year consolidated interest income</t>
  </si>
  <si>
    <t>H1 filed net income (hybrid actual, cited Form 10-Q memo)</t>
  </si>
  <si>
    <t>Pretax $100,918k - Tax $24,300k</t>
  </si>
  <si>
    <t>SEC Form 10-Q filed net income</t>
  </si>
  <si>
    <t>H2 modeled net income (statement leg memo for 08_BS / 09_CF)</t>
  </si>
  <si>
    <t>FY2026 net income − cited H1 net income</t>
  </si>
  <si>
    <t>H2 modeled net income rolling 08_BS retained earnings</t>
  </si>
  <si>
    <t>Gross profit footing check: Revenue - COGS = Gross Profit (OK/BREAK)</t>
  </si>
  <si>
    <t>Opex footing check: Total Opex = R&amp;D + S&amp;M + G&amp;A (OK/BREAK)</t>
  </si>
  <si>
    <t>EBIT footing check: Operating Income = Gross Profit - Total Opex (OK/BREAK)</t>
  </si>
  <si>
    <t>Pretax income footing check: Pretax = EBIT + Other + Interest (OK/BREAK)</t>
  </si>
  <si>
    <t>Net income footing check: Net Income = Pretax - Income Tax (OK/BREAK)</t>
  </si>
  <si>
    <t>Engine Interest income parity check (tolerance &lt;= $1k; OK/BREAK)</t>
  </si>
  <si>
    <t>Engine Net income parity check (tolerance &lt;= $1k; OK/BREAK)</t>
  </si>
  <si>
    <t>Check — FY2026: H1 filed pretax + H2 components = full-year pretax (OK/BREAK)</t>
  </si>
  <si>
    <t>Duolingo, Inc. — Projected Balance Sheet</t>
  </si>
  <si>
    <t>Integrated 3-Statement Balance Sheet (FY2026–FY2030) with zero-error balance check across all explicit forecast periods</t>
  </si>
  <si>
    <t>CITED Q2 FY2026 BALANCE SHEET STOCK BASIS — Held-constant lines &amp; opening roll balances</t>
  </si>
  <si>
    <t>Cited Q2 FY2026 — Cash and cash equivalents</t>
  </si>
  <si>
    <t>Cited Q2 FY2026 cash</t>
  </si>
  <si>
    <t>Cited Q2 FY2026 cash balance</t>
  </si>
  <si>
    <t>Cited Q2 FY2026 — Short-term investments</t>
  </si>
  <si>
    <t>Cited Q2 FY2026 short-term investments</t>
  </si>
  <si>
    <t>Cited Q2 FY2026 short-term investments</t>
  </si>
  <si>
    <t>Cited Q2 FY2026 — Long-term investments</t>
  </si>
  <si>
    <t>Cited Q2 FY2026 long-term investments</t>
  </si>
  <si>
    <t>Cited Q2 FY2026 long-term investments</t>
  </si>
  <si>
    <t>Cited Q2 FY2026 — Operating lease right-of-use assets</t>
  </si>
  <si>
    <t>Cited Q2 FY2026 operating lease ROU assets</t>
  </si>
  <si>
    <t>Cited Q2 FY2026 lease ROU assets</t>
  </si>
  <si>
    <t>Cited Q2 FY2026 — Goodwill</t>
  </si>
  <si>
    <t>Cited Q2 FY2026 goodwill</t>
  </si>
  <si>
    <t>Cited Q2 FY2026 goodwill</t>
  </si>
  <si>
    <t>Cited Q2 FY2026 — Restricted cash</t>
  </si>
  <si>
    <t>Cited Q2 FY2026 restricted cash</t>
  </si>
  <si>
    <t>Cited Q2 FY2026 restricted cash</t>
  </si>
  <si>
    <t>Cited Q2 FY2026 — Deferred tax assets, net</t>
  </si>
  <si>
    <t>Cited Q2 FY2026 deferred tax assets</t>
  </si>
  <si>
    <t>Cited Q2 FY2026 deferred tax assets</t>
  </si>
  <si>
    <t>Cited Q2 FY2026 — Other assets</t>
  </si>
  <si>
    <t>Cited Q2 FY2026 other non-current assets</t>
  </si>
  <si>
    <t>Cited Q2 FY2026 other non-current assets</t>
  </si>
  <si>
    <t>Cited Q2 FY2026 — Property and equipment, net (Q2 cited stock)</t>
  </si>
  <si>
    <t>Cited Q2 FY2026 net PP&amp;E</t>
  </si>
  <si>
    <t>Cited Q2 FY2026 net PP&amp;E (BOP for statement roll)</t>
  </si>
  <si>
    <t>Cited Q2 FY2026 — Intangible assets, net (Q2 cited stock)</t>
  </si>
  <si>
    <t>Cited Q2 FY2026 net intangibles</t>
  </si>
  <si>
    <t>Cited Q2 FY2026 net intangibles (BOP for statement roll)</t>
  </si>
  <si>
    <t>Cited Q2 FY2026 — Long-term operating lease liability</t>
  </si>
  <si>
    <t>Cited Q2 FY2026 operating lease liabilities</t>
  </si>
  <si>
    <t>Cited Q2 FY2026 operating lease liabilities</t>
  </si>
  <si>
    <t>Cited Q2 FY2026 — Deferred tax liabilities, net</t>
  </si>
  <si>
    <t>Cited Q2 FY2026 deferred tax liabilities</t>
  </si>
  <si>
    <t>Cited Q2 FY2026 deferred tax liabilities</t>
  </si>
  <si>
    <t>Cited Q2 FY2026 — Common stock</t>
  </si>
  <si>
    <t>Cited Q2 FY2026 common stock</t>
  </si>
  <si>
    <t>Cited Q2 FY2026 common stock par value</t>
  </si>
  <si>
    <t>Cited Q2 FY2026 — Additional paid-in capital (Q2 cited stock)</t>
  </si>
  <si>
    <t>Cited Q2 FY2026 additional paid-in capital</t>
  </si>
  <si>
    <t>Cited Q2 FY2026 APIC (BOP for APIC roll)</t>
  </si>
  <si>
    <t>Cited Q2 FY2026 — Retained earnings (Q2 cited stock)</t>
  </si>
  <si>
    <t>Cited Q2 FY2026 retained earnings</t>
  </si>
  <si>
    <t>Cited Q2 FY2026 Retained Earnings (BOP for RE roll)</t>
  </si>
  <si>
    <t>Cited Q2 FY2026 — Treasury stock</t>
  </si>
  <si>
    <t>Cited Q2 FY2026 treasury stock</t>
  </si>
  <si>
    <t>Cited Q2 FY2026 treasury stock</t>
  </si>
  <si>
    <t>Cited Q2 FY2026 — Net working capital (Q2 cited stock)</t>
  </si>
  <si>
    <t>Cited Q2 FY2026 net working capital</t>
  </si>
  <si>
    <t>Cited Q2 FY2026 Net Working Capital (opening basis)</t>
  </si>
  <si>
    <t>CURRENT ASSETS</t>
  </si>
  <si>
    <t>Ending cash balance for the period</t>
  </si>
  <si>
    <t>Ending cash balance swept directly from 09_CF</t>
  </si>
  <si>
    <t>Short-term investments (held constant, cited Q2 FY2026)</t>
  </si>
  <si>
    <t>Held constant at cited Q2 FY2026 balance ($132,979k)</t>
  </si>
  <si>
    <t>Accounts receivable, net</t>
  </si>
  <si>
    <t>linked Accounts receivable</t>
  </si>
  <si>
    <t>Accounts receivable linked from 05_WC_Capex</t>
  </si>
  <si>
    <t>linked Deferred cost of revenues</t>
  </si>
  <si>
    <t>Deferred cost of revenues linked from 05_WC_Capex</t>
  </si>
  <si>
    <t>linked Prepaid expenses</t>
  </si>
  <si>
    <t>Prepaid expenses linked from 05_WC_Capex</t>
  </si>
  <si>
    <t>linked Income tax receivable</t>
  </si>
  <si>
    <t>Income tax receivable linked from 05_WC_Capex</t>
  </si>
  <si>
    <t>Sum of current assets</t>
  </si>
  <si>
    <t>Total current assets footed</t>
  </si>
  <si>
    <t>NON-CURRENT ASSETS</t>
  </si>
  <si>
    <t>Operating lease right-of-use assets (held constant, cited Q2 FY2026)</t>
  </si>
  <si>
    <t>Held constant at cited Q2 FY2026 balance ($74,830k)</t>
  </si>
  <si>
    <t>Long-term investments (held constant, cited Q2 FY2026)</t>
  </si>
  <si>
    <t>Held constant at cited Q2 FY2026 balance ($102,693k)</t>
  </si>
  <si>
    <t>Property and equipment, net (rolled: prior + Capex - Deprec)</t>
  </si>
  <si>
    <t>Prior PP&amp;E + CapexPPEBasis - DepBasis</t>
  </si>
  <si>
    <t>Statement leg PP&amp;E roll (FY2026 rolls cited Q2 $42,619k + H2 capex - H2 depr)</t>
  </si>
  <si>
    <t>Intangible assets, net (rolled: prior + Additions - Amort)</t>
  </si>
  <si>
    <t>Prior Intang + CapSoftBasis - AmortBasis</t>
  </si>
  <si>
    <t>Statement leg intangibles roll (FY2026 rolls cited Q2 $27,598k + H2 soft - H2 amort)</t>
  </si>
  <si>
    <t>Goodwill (held constant, cited Q2 FY2026)</t>
  </si>
  <si>
    <t>Held constant at cited Q2 FY2026 balance ($35,335k)</t>
  </si>
  <si>
    <t>Restricted cash, non-current (held constant, cited Q2 FY2026)</t>
  </si>
  <si>
    <t>Held constant at cited Q2 FY2026 balance ($2,735k)</t>
  </si>
  <si>
    <t>Deferred tax assets, net (held constant, cited Q2 FY2026)</t>
  </si>
  <si>
    <t>Held constant at cited Q2 FY2026 balance ($206,039k)</t>
  </si>
  <si>
    <t>Other non-current assets (held constant, cited Q2 FY2026)</t>
  </si>
  <si>
    <t>Held constant at cited Q2 FY2026 balance ($10,990k)</t>
  </si>
  <si>
    <t>Total non-current assets</t>
  </si>
  <si>
    <t>Sum of non-current assets</t>
  </si>
  <si>
    <t>Total non-current assets footed</t>
  </si>
  <si>
    <t>Total Current Assets + Total Non-Current Assets</t>
  </si>
  <si>
    <t>Consolidated total assets footed</t>
  </si>
  <si>
    <t>CURRENT LIABILITIES</t>
  </si>
  <si>
    <t>linked Deferred revenues</t>
  </si>
  <si>
    <t>Deferred revenues linked from 05_WC_Capex</t>
  </si>
  <si>
    <t>linked Accounts payable</t>
  </si>
  <si>
    <t>Accounts payable linked from 05_WC_Capex</t>
  </si>
  <si>
    <t>linked Accrued expenses</t>
  </si>
  <si>
    <t>Accrued expenses linked from 05_WC_Capex</t>
  </si>
  <si>
    <t>linked Income tax payable</t>
  </si>
  <si>
    <t>Income tax payable linked from 05_WC_Capex</t>
  </si>
  <si>
    <t>Sum of current liabilities</t>
  </si>
  <si>
    <t>Total current liabilities footed</t>
  </si>
  <si>
    <t>NON-CURRENT LIABILITIES</t>
  </si>
  <si>
    <t>Operating lease liabilities, non-current (held constant, cited Q2 FY2026)</t>
  </si>
  <si>
    <t>Held constant at cited Q2 FY2026 balance ($86,136k)</t>
  </si>
  <si>
    <t>Deferred tax liabilities, net (held constant, cited Q2 FY2026)</t>
  </si>
  <si>
    <t>Held constant at cited Q2 FY2026 balance ($242k)</t>
  </si>
  <si>
    <t>Total non-current liabilities</t>
  </si>
  <si>
    <t>Sum of non-current liabilities</t>
  </si>
  <si>
    <t>Total non-current liabilities footed</t>
  </si>
  <si>
    <t>Total Current Liabilities + Total Non-Current Liabilities</t>
  </si>
  <si>
    <t>Consolidated total liabilities footed</t>
  </si>
  <si>
    <t>STOCKHOLDERS' EQUITY</t>
  </si>
  <si>
    <t>Common stock (held constant, cited Q2 FY2026)</t>
  </si>
  <si>
    <t>Common stock par value held constant at cited Q2 FY2026 ($5k)</t>
  </si>
  <si>
    <t>Additional paid-in capital (rolled: prior + SBC + Options - Taxes - Buybacks)</t>
  </si>
  <si>
    <t>Prior APIC + SBC + Options + Settlement + Buybacks</t>
  </si>
  <si>
    <t>APIC roll-forward (FY2026 rolls cited Q2 $1,046,326k + H2 equity movements)</t>
  </si>
  <si>
    <t>Retained earnings / accumulated deficit (rolled: prior + net income)</t>
  </si>
  <si>
    <t>Prior RE + Net Income (FY26 = Q2 RE + H2 NI)</t>
  </si>
  <si>
    <t>Retained earnings roll-forward (no dividends paid)</t>
  </si>
  <si>
    <t>Treasury stock (held constant, cited Q2 FY2026)</t>
  </si>
  <si>
    <t>Treasury stock held constant at cited Q2 FY2026 balance (-$1,425k)</t>
  </si>
  <si>
    <t>Total stockholders' equity</t>
  </si>
  <si>
    <t>Common + APIC + RE + Treasury</t>
  </si>
  <si>
    <t>Consolidated total stockholders' equity footed</t>
  </si>
  <si>
    <t>Total liabilities and stockholders' equity</t>
  </si>
  <si>
    <t>Total Liabilities + Total Equity</t>
  </si>
  <si>
    <t>Total liabilities and stockholders' equity footed</t>
  </si>
  <si>
    <t>Balance Sheet check: Total Assets = Total Liabilities &amp; Equity (OK/BREAK)</t>
  </si>
  <si>
    <t>Cash roll tie check: BS Cash = CF Ending Cash (cash roll, OK/BREAK)</t>
  </si>
  <si>
    <t>Direct footing check: Total Assets - Total Liabilities - Total Equity = 0 (OK/BREAK)</t>
  </si>
  <si>
    <t>Engine Total assets parity check (tolerance &lt;= $1k; OK/BREAK)</t>
  </si>
  <si>
    <t>Engine Total liabilities parity check (tolerance &lt;= $1k; OK/BREAK)</t>
  </si>
  <si>
    <t>Engine Total equity parity check (tolerance &lt;= $1k; OK/BREAK)</t>
  </si>
  <si>
    <t>Duolingo, Inc. — Projected Cash Flow Statement</t>
  </si>
  <si>
    <t>Integrated 3-Statement Cash Flow Statement (FY2026–FY2030) linking Net Income to Ending Cash with zero articulation error</t>
  </si>
  <si>
    <t>STATEMENT BASIS &amp; HYBRID CASH-FLOW LEGS (FY2026 = H2 ONLY; FY2027+ = FULL YEAR)</t>
  </si>
  <si>
    <t>Capex PP&amp;E (Statement leg / cash-flow basis)</t>
  </si>
  <si>
    <t>PP&amp;E Capex (halved in FY26)</t>
  </si>
  <si>
    <t>PP&amp;E capex cash flow basis (H2 only in FY2026)</t>
  </si>
  <si>
    <t>Capitalized software (Statement leg / cash-flow basis)</t>
  </si>
  <si>
    <t>Capitalized software (halved in FY26)</t>
  </si>
  <si>
    <t>Software capitalization cash flow basis (H2 only in FY2026)</t>
  </si>
  <si>
    <t>PP&amp;E depreciation (Statement leg / cash-flow basis)</t>
  </si>
  <si>
    <t>PP&amp;E Depreciation (halved in FY26)</t>
  </si>
  <si>
    <t>PP&amp;E depreciation cash flow basis (H2 only in FY2026)</t>
  </si>
  <si>
    <t>Software amortization (Statement leg / cash-flow basis)</t>
  </si>
  <si>
    <t>Software Amortization (halved in FY26)</t>
  </si>
  <si>
    <t>Software amortization cash flow basis (H2 only in FY2026)</t>
  </si>
  <si>
    <t>Stock-based compensation (Statement leg / cash-flow basis)</t>
  </si>
  <si>
    <t>SBC expense (halved in FY26)</t>
  </si>
  <si>
    <t>SBC expense cash flow basis (H2 only in FY2026)</t>
  </si>
  <si>
    <t>Option exercise proceeds (Statement leg / cash-flow basis)</t>
  </si>
  <si>
    <t>Option proceeds (halved in FY26)</t>
  </si>
  <si>
    <t>Stock option exercise proceeds (H2 only in FY2026)</t>
  </si>
  <si>
    <t>Tax payments for net share settlement (Statement leg / cash-flow basis)</t>
  </si>
  <si>
    <t>Tax settlement outflow (halved in FY26)</t>
  </si>
  <si>
    <t>Net share settlement tax withholdings (H2 only in FY2026)</t>
  </si>
  <si>
    <t>Repurchases of common stock (Statement leg / cash-flow basis)</t>
  </si>
  <si>
    <t>Share repurchases outflow (halved in FY26)</t>
  </si>
  <si>
    <t>Common stock repurchases (H2 only in FY2026)</t>
  </si>
  <si>
    <t>HYBRID PROVENANCE — FY2026 H1 FILED ACTUALS (CITED FORM 10-Q)</t>
  </si>
  <si>
    <t>H1 filed cash provided by operating activities</t>
  </si>
  <si>
    <t>SEC Form 10-Q filed</t>
  </si>
  <si>
    <t>Six months ended June 30, 2026 (6M FY2026 filed OCF)</t>
  </si>
  <si>
    <t>H1 filed cash used in investing activities</t>
  </si>
  <si>
    <t>Six months ended June 30, 2026 (6M FY2026 filed ICF)</t>
  </si>
  <si>
    <t>H1 filed cash used in financing activities</t>
  </si>
  <si>
    <t>Six months ended June 30, 2026 (6M FY2026 filed CFF)</t>
  </si>
  <si>
    <t>H1 filed net change in cash and cash equivalents</t>
  </si>
  <si>
    <t>Six months ended June 30, 2026 (6M FY2026 filed Net Change)</t>
  </si>
  <si>
    <t>CASH FLOW FROM OPERATING ACTIVITIES</t>
  </si>
  <si>
    <t>Net income (FY2026 = H2 modeled; full year thereafter)</t>
  </si>
  <si>
    <t>Modeled net income (H2 for FY26; full year thereafter)</t>
  </si>
  <si>
    <t>Starting net income from 07_IS Projected Income Statement</t>
  </si>
  <si>
    <t>Non-cash D&amp;A add-back (H2 only in FY2026; full year thereafter)</t>
  </si>
  <si>
    <t>Change in operating working capital</t>
  </si>
  <si>
    <t>-ΔNWC</t>
  </si>
  <si>
    <t>Cash impact from changes in operating assets and liabilities</t>
  </si>
  <si>
    <t>H2 modeled cash provided by operating activities (memo)</t>
  </si>
  <si>
    <t>NI + D&amp;A + SBC + ΔNWC</t>
  </si>
  <si>
    <t>Modeled second half operating cash flows</t>
  </si>
  <si>
    <t>Cash provided by operating activities</t>
  </si>
  <si>
    <t>H1 filed + H2 modeled (FY26); NI + D&amp;A + SBC + ΔNWC</t>
  </si>
  <si>
    <t>Total net cash provided by operating activities</t>
  </si>
  <si>
    <t>CASH FLOW FROM INVESTING ACTIVITIES</t>
  </si>
  <si>
    <t>PP&amp;E capex outflow</t>
  </si>
  <si>
    <t>Capital expenditures for property and equipment</t>
  </si>
  <si>
    <t>Capitalized software outflow</t>
  </si>
  <si>
    <t>Capitalized software development expenditures</t>
  </si>
  <si>
    <t>H2 modeled cash used in investing activities (memo)</t>
  </si>
  <si>
    <t>Capex PP&amp;E + CapSoft</t>
  </si>
  <si>
    <t>Modeled second half investing cash flows</t>
  </si>
  <si>
    <t>Cash used in investing activities</t>
  </si>
  <si>
    <t>H1 filed + H2 modeled (FY26); Capex + Soft (FY27+)</t>
  </si>
  <si>
    <t>Total net cash used in investing activities</t>
  </si>
  <si>
    <t>CASH FLOW FROM FINANCING ACTIVITIES</t>
  </si>
  <si>
    <t>Proceeds from exercise of stock options</t>
  </si>
  <si>
    <t>Option exercise proceeds</t>
  </si>
  <si>
    <t>Proceeds received from exercise of employee stock options</t>
  </si>
  <si>
    <t>Taxes paid related to net share settlement of equity awards</t>
  </si>
  <si>
    <t>Tax settlement (outflow)</t>
  </si>
  <si>
    <t>Tax withholding remittances on vesting equity awards</t>
  </si>
  <si>
    <t>Repurchases of common stock</t>
  </si>
  <si>
    <t>Share repurchases (outflow)</t>
  </si>
  <si>
    <t>Cash spent on share repurchase program</t>
  </si>
  <si>
    <t>H2 modeled cash used in financing activities (memo)</t>
  </si>
  <si>
    <t>Options + Settlement + Buyback</t>
  </si>
  <si>
    <t>Modeled second half financing cash flows</t>
  </si>
  <si>
    <t>Cash used in financing activities</t>
  </si>
  <si>
    <t>H1 filed + H2 modeled (FY26); Options + Settlement + Buyback</t>
  </si>
  <si>
    <t>Total net cash used in financing activities</t>
  </si>
  <si>
    <t>CASH ROLL &amp; LIQUIDITY RECONCILIATION</t>
  </si>
  <si>
    <t>Net change in cash and cash equivalents</t>
  </si>
  <si>
    <t>OCF + ICF + CFF</t>
  </si>
  <si>
    <t>Net increase / (decrease) in cash and cash equivalents</t>
  </si>
  <si>
    <t>Cash and cash equivalents, beginning of period</t>
  </si>
  <si>
    <t>Prior ending cash (FY26 = cited Q2 FY26 cash)</t>
  </si>
  <si>
    <t>Beginning balance of cash and cash equivalents</t>
  </si>
  <si>
    <t>Cash and cash equivalents, end of period</t>
  </si>
  <si>
    <t>Beginning Cash + Net Change (FY26 = Q2 Cash + H2 Net Change)</t>
  </si>
  <si>
    <t>Ending balance of cash and cash equivalents (ties to 08_BS)</t>
  </si>
  <si>
    <t>BASIS NOTE — FY2026 Ending Cash ≠ Beginning Cash + Full-Year Net Change by construction; Beginning Cash is Q2 FY2026 ($1,180,887k), and Ending Cash rolls H2 net change ($54,308k) to $1,235,195k. Full-year net change ($198,806k) includes H1 change ($144,498k) already embedded in Q2 opening stock.</t>
  </si>
  <si>
    <t>Net change check: OCF + ICF + CFF = Net change in cash (OK/BREAK)</t>
  </si>
  <si>
    <t>Cash chain check: Ending cash rolls to next period beginning cash (OK/BREAK)</t>
  </si>
  <si>
    <t>H1 cash flow check: H1 OCF + ICF + CFF = H1 Net Change (OK/BREAK)</t>
  </si>
  <si>
    <t>H2 modeled cash flow block foots: H2 OCF + ICF + CFF = H2 Net Change (OK/BREAK)</t>
  </si>
  <si>
    <t>Engine Operating cash flow parity check (tolerance &lt;= $1k; OK/BREAK)</t>
  </si>
  <si>
    <t>Engine Ending cash parity check (tolerance &lt;= $1k; OK/BREAK)</t>
  </si>
  <si>
    <t>Duolingo, Inc. — Unlevered Free Cash Flow (FCFF) &amp; 3-Stage DCF Valuation</t>
  </si>
  <si>
    <t>FCFF = Cash from operations + Cash from investing − After-tax interest income. Stage periods pulled from 01_Assumptions by defined name.</t>
  </si>
  <si>
    <t>Frozen as-of valuation: effective valuation date 2026-10-08; reporting cutoff 2026-06-30. No TODAY, OFFSET, INDIRECT, NOW, RAND or EDATE anywhere in this sheet.</t>
  </si>
  <si>
    <t>Discounted Cash Flow — FCFF Schedule</t>
  </si>
  <si>
    <t>FY2032</t>
  </si>
  <si>
    <t>FY2033</t>
  </si>
  <si>
    <t>FY2034</t>
  </si>
  <si>
    <t>STAGE STRUCTURE — periods pulled from 01_Assumptions by defined name</t>
  </si>
  <si>
    <t>Forecast &amp; Valuation Stage</t>
  </si>
  <si>
    <t>Stage 3 (Terminal Steady-State) Basis</t>
  </si>
  <si>
    <t>Check — FY2026–FY2028 columns carry Stage 1 label pulled from 01_Assumptions (OK/BREAK)</t>
  </si>
  <si>
    <t>Check — FY2029–FY2030 columns still carry Stage 1 label (OK/BREAK)</t>
  </si>
  <si>
    <t>Check — FY2031–FY2035 columns carry Stage 2 label (OK/BREAK)</t>
  </si>
  <si>
    <t>Check — Stage 2 begins in calendar year immediately after Stage 1 ends (OK/BREAK)</t>
  </si>
  <si>
    <t>Check — Stage 3 basis on this sheet matches 01_Assumptions (OK/BREAK)</t>
  </si>
  <si>
    <t>VALUATION BASIS — frozen as-of inputs (2026-09-02 effective date; 2026-06-30 reporting cutoff)</t>
  </si>
  <si>
    <t>Effective valuation date (declared input)</t>
  </si>
  <si>
    <t>2026-09-02</t>
  </si>
  <si>
    <t>Reporting cutoff — last filed balance sheet date (declared input)</t>
  </si>
  <si>
    <t>2026-06-30</t>
  </si>
  <si>
    <t>Terminal date (declared input)</t>
  </si>
  <si>
    <t>2035-12-31</t>
  </si>
  <si>
    <t>Day-count basis for discount exponents (days per year)</t>
  </si>
  <si>
    <t>FY2026 H2 days total (30 Jun → 31 Dec)</t>
  </si>
  <si>
    <t>Pre-valuation roll days (30 Jun → valuation date) — bridged into cash, not discounted</t>
  </si>
  <si>
    <t>Post-valuation discount days (valuation date → 31 Dec) — the discounted FY2026 stub</t>
  </si>
  <si>
    <t>Pre-valuation fraction of FY2026 H2</t>
  </si>
  <si>
    <t>Post-valuation fraction of FY2026 H2</t>
  </si>
  <si>
    <t>Check — pre-valuation + post-valuation days = FY2026 H2 days (OK/BREAK)</t>
  </si>
  <si>
    <t>WACC (discount rate)</t>
  </si>
  <si>
    <t>Cost of equity = risk-free + beta × equity risk premium</t>
  </si>
  <si>
    <t>Terminal growth rate g (Stage 3)</t>
  </si>
  <si>
    <t>Check — WACC equals the cost of equity build (OK/BREAK)</t>
  </si>
  <si>
    <t>Check — WACC exceeds g, so the Gordon denominator is positive (OK/BREAK)</t>
  </si>
  <si>
    <t>Perpetual post-terminal dilution d_perm (engine constant; disclosed range 0–2%)</t>
  </si>
  <si>
    <t>Money scale — dollars per $ thousands (UNITS.thousands_usd)</t>
  </si>
  <si>
    <t>FREE CASH FLOW TO THE FIRM — FY2026–FY2030 build live from 07_IS / 09_CF; FY2031–FY2035 are engine-projected fade</t>
  </si>
  <si>
    <t>Cash from operations</t>
  </si>
  <si>
    <t>Cash from investing</t>
  </si>
  <si>
    <t>Interest income (total)</t>
  </si>
  <si>
    <t>After-tax interest income = interest income × (1 − effective tax rate)</t>
  </si>
  <si>
    <t>Free cash flow to the firm — full period</t>
  </si>
  <si>
    <t>DATED VALUATION SEAM — FY2026 is partitioned; only cash flow after the effective valuation date is discounted</t>
  </si>
  <si>
    <t>FY2026 H1 actual FCFF (inside cited 30 Jun balance — bridged, never discounted)</t>
  </si>
  <si>
    <t>FY2026 H2 modeled FCFF (the whole H2 half-year)</t>
  </si>
  <si>
    <t>Less: pre-valuation portion (30 Jun → valuation date, 64 days) — rolled into the cash bridge</t>
  </si>
  <si>
    <t>FY2026 post-valuation FCFF (valuation date → 31 Dec, 120 days) — the discounted stub</t>
  </si>
  <si>
    <t>Check — H1 actual + pre-valuation + post-valuation = full-period FY2026 FCFF (OK/BREAK)</t>
  </si>
  <si>
    <t>DISCOUNTING — exponent t derived from declared dates; t − 0.5 shown beside factor as disclosed mid-year reference</t>
  </si>
  <si>
    <t>Period end date (declared)</t>
  </si>
  <si>
    <t>2026-12-31</t>
  </si>
  <si>
    <t>2027-12-31</t>
  </si>
  <si>
    <t>2028-12-31</t>
  </si>
  <si>
    <t>2029-12-31</t>
  </si>
  <si>
    <t>2030-12-31</t>
  </si>
  <si>
    <t>2031-12-31</t>
  </si>
  <si>
    <t>2032-12-31</t>
  </si>
  <si>
    <t>2033-12-31</t>
  </si>
  <si>
    <t>2034-12-31</t>
  </si>
  <si>
    <t>Days from effective valuation date to period end</t>
  </si>
  <si>
    <t>Period exponent t (years)</t>
  </si>
  <si>
    <t>t − 0.5 — mid-year reference, disclosed (factor uses t, not t − 0.5)</t>
  </si>
  <si>
    <t>Discount factor = 1 ÷ (1 + WACC) ^ t</t>
  </si>
  <si>
    <t>FCFF entering dated schedule (FY2026 = post-valuation window only)</t>
  </si>
  <si>
    <t>Present value of FCFF</t>
  </si>
  <si>
    <t>Check — discount factor reproduces 1 ÷ (1 + WACC) ^ t from named cells (OK/BREAK)</t>
  </si>
  <si>
    <t>STAGE SPLIT — present values by stage (Stage 1 explicit, Stage 2 fade; Stage 3 is the terminal block below)</t>
  </si>
  <si>
    <t>Present value of forecast FCFF — Stage 1 explicit (FY2026–FY2030)</t>
  </si>
  <si>
    <t>Present value of forecast FCFF — Stage 2 fade (FY2031–FY2035)</t>
  </si>
  <si>
    <t>Present value of forecast FCFF — both explicit stages</t>
  </si>
  <si>
    <t>Check — the ten present values foot to the explicit present value (OK/BREAK)</t>
  </si>
  <si>
    <t>Check — Stage 1 and Stage 2 present values sum to the explicit total (OK/BREAK)</t>
  </si>
  <si>
    <t>TERMINAL VALUE — Stage 3 Gordon growth on normalized terminal FCFF (growing out of FY2035)</t>
  </si>
  <si>
    <t>FY2035 FCFF (final explicit year)</t>
  </si>
  <si>
    <t>Net working capital, terminal year FY2035 (engine production)</t>
  </si>
  <si>
    <t>Net working capital, FY2034 (engine production)</t>
  </si>
  <si>
    <t>Working-capital inflow embedded in FY2035 = −(NWC FY2035 − NWC FY2034)</t>
  </si>
  <si>
    <t>Steady-state working-capital inflow at g = −NWC FY2035 × g</t>
  </si>
  <si>
    <t>Normalized terminal FCFF = FY2035 FCFF − embedded inflow + steady-state inflow</t>
  </si>
  <si>
    <t>Terminal FCFF grown one year = normalized terminal FCFF × (1 + g)</t>
  </si>
  <si>
    <t>Terminal value at FY2035 = terminal FCFF ÷ (WACC − g)</t>
  </si>
  <si>
    <t>Discount factor at FY2035 (the FY2035 exponent above)</t>
  </si>
  <si>
    <t>Present value of the terminal value</t>
  </si>
  <si>
    <t>ENTERPRISE VALUE → EQUITY BRIDGE (dated seam; net cash measured at effective valuation date)</t>
  </si>
  <si>
    <t>Present value of forecast FCFF (Stage 1 + Stage 2)</t>
  </si>
  <si>
    <t>Enterprise value</t>
  </si>
  <si>
    <t>Cash and cash equivalents, cited Q2 FY2026 (30 Jun 2026)</t>
  </si>
  <si>
    <t>Plus: pre-valuation cash roll (30 Jun → valuation date, 64 days; engine seam partition)</t>
  </si>
  <si>
    <t>Cash and cash equivalents at the effective valuation date (rolled)</t>
  </si>
  <si>
    <t>Plus: short-term investments (cited Q2 FY2026, held constant)</t>
  </si>
  <si>
    <t>Plus: long-term investments (cited Q2 FY2026, held constant)</t>
  </si>
  <si>
    <t>Less: total funded debt (the model is debt-free; engine sanctions zero)</t>
  </si>
  <si>
    <t>Net cash at the effective valuation date</t>
  </si>
  <si>
    <t>Equity value</t>
  </si>
  <si>
    <t>Check — equity value = enterprise value + net cash (OK/BREAK)</t>
  </si>
  <si>
    <t>Check — net cash equals the Cover as-filed basis plus stub roll (disclosed, OK/BREAK)</t>
  </si>
  <si>
    <t>VALUE PER DILUTED SHARE — three disclosed denominators, one recommended lane (perpetual-divisor basis)</t>
  </si>
  <si>
    <t>Diluted shares — spot, point-in-time fully diluted schedule at 30 Jun 2026</t>
  </si>
  <si>
    <t>Diluted shares — terminal count after the explicit and fade issuance roll</t>
  </si>
  <si>
    <t>Perpetual post-terminal dilution factor (1 + d_perm)</t>
  </si>
  <si>
    <t>Terminal divisor — explicit, fade and perpetual dilution (the canonical denominator)</t>
  </si>
  <si>
    <t>Value per diluted share — CANONICAL: after modeled future dilution (RECOMMENDED)</t>
  </si>
  <si>
    <t>Value per diluted share — after explicit and fade dilution (disclosed intermediate)</t>
  </si>
  <si>
    <t>Value per diluted share — current-share spot value (disclosed; NOT a recommendation)</t>
  </si>
  <si>
    <t>Modeled dilution effect per share (spot − canonical)</t>
  </si>
  <si>
    <t>Check — spot value exceeds canonical value (modelled dilution is positive, OK/BREAK)</t>
  </si>
  <si>
    <t>Check — canonical value does not exceed the finite-roll intermediate (OK/BREAK)</t>
  </si>
  <si>
    <t>Check — modelled dilution effect equals spot less canonical (OK/BREAK)</t>
  </si>
  <si>
    <t>COMPARISON LANES — complete 5-period (H5) comparison chain and legacy integer-index lane</t>
  </si>
  <si>
    <t>Five-period lane — canonical value per share (FY2026–FY2030 complete chain)</t>
  </si>
  <si>
    <t>Five-period lane — terminal divisor (five-period share roll × perpetual dilution)</t>
  </si>
  <si>
    <t>Five-period lane — finite value per share (five-period share roll)</t>
  </si>
  <si>
    <t>Five-period lane — enterprise value (complete horizon-5 chain)</t>
  </si>
  <si>
    <t>Legacy integer-index lane — value per share (ten-period horizon; not production)</t>
  </si>
  <si>
    <t>Legacy integer-index lane — enterprise value (ten-period horizon; not production)</t>
  </si>
  <si>
    <t>Note: Complete 5-period comparison chain built end-to-end from its own forecast, statement projection and DCF valuation. Slicing horizon-10 shares over horizon-5 DCF is avoided.</t>
  </si>
  <si>
    <t>ENGINE CROSS-CHECK — live-evaluated parity benchmark as of 2026-10-08</t>
  </si>
  <si>
    <t xml:space="preserve"> FCFF entering dated schedule (engine)</t>
  </si>
  <si>
    <t xml:space="preserve"> Discount factor (engine)</t>
  </si>
  <si>
    <t xml:space="preserve"> Present value of FCFF (engine)</t>
  </si>
  <si>
    <t xml:space="preserve"> Period exponent t (engine)</t>
  </si>
  <si>
    <t xml:space="preserve"> Days from valuation date to period end (engine)</t>
  </si>
  <si>
    <t xml:space="preserve"> WACC (engine)</t>
  </si>
  <si>
    <t xml:space="preserve"> Terminal growth g (engine)</t>
  </si>
  <si>
    <t xml:space="preserve"> Present value of forecast FCFF (engine)</t>
  </si>
  <si>
    <t xml:space="preserve"> Terminal value (engine)</t>
  </si>
  <si>
    <t xml:space="preserve"> Present value of terminal value (engine)</t>
  </si>
  <si>
    <t xml:space="preserve"> Enterprise value (engine)</t>
  </si>
  <si>
    <t xml:space="preserve"> Cash at effective valuation date, rolled (engine)</t>
  </si>
  <si>
    <t xml:space="preserve"> Net cash (engine)</t>
  </si>
  <si>
    <t xml:space="preserve"> Equity value (engine)</t>
  </si>
  <si>
    <t xml:space="preserve"> Diluted shares, spot fully diluted schedule (engine)</t>
  </si>
  <si>
    <t xml:space="preserve"> Diluted shares, terminal after finite roll (engine)</t>
  </si>
  <si>
    <t xml:space="preserve"> Terminal divisor including perpetual dilution (engine)</t>
  </si>
  <si>
    <t xml:space="preserve"> Value per diluted share — canonical (engine)</t>
  </si>
  <si>
    <t xml:space="preserve"> Value per diluted share — finite roll (engine)</t>
  </si>
  <si>
    <t xml:space="preserve"> Value per diluted share — spot (engine)</t>
  </si>
  <si>
    <t>LIVE-VERSUS-ENGINE CHECK ROWS — each compares live sheet formulas to the independent engine benchmark</t>
  </si>
  <si>
    <t>Check — live FCFF entering dated schedule equals engine, every period (OK/BREAK)</t>
  </si>
  <si>
    <t>Check — live discount factor equals engine, every period (OK/BREAK)</t>
  </si>
  <si>
    <t>Check — live exponent t equals engine, every period (OK/BREAK)</t>
  </si>
  <si>
    <t>Check — live present value equals engine, every period (OK/BREAK)</t>
  </si>
  <si>
    <t>Check — live explicit present value equals engine (OK/BREAK)</t>
  </si>
  <si>
    <t>Check — live terminal value equals engine (OK/BREAK)</t>
  </si>
  <si>
    <t>Check — live present value of terminal equals engine (OK/BREAK)</t>
  </si>
  <si>
    <t>Check — live enterprise value equals engine (OK/BREAK)</t>
  </si>
  <si>
    <t>Check — live rolled cash equals engine (OK/BREAK)</t>
  </si>
  <si>
    <t>Check — live net cash equals engine (OK/BREAK)</t>
  </si>
  <si>
    <t>Check — live equity value equals engine (OK/BREAK)</t>
  </si>
  <si>
    <t>Check — live terminal divisor equals shares(roll) × (1 + d_perm) and engine (OK/BREAK)</t>
  </si>
  <si>
    <t>Check — live finite-roll share count equals engine (OK/BREAK)</t>
  </si>
  <si>
    <t>Check — spot denominator equals Cover fully diluted schedule and engine (OK/BREAK)</t>
  </si>
  <si>
    <t>Check — canonical value per diluted share within $0.01 of engine canonical output (OK/BREAK)</t>
  </si>
  <si>
    <t>Check — finite-roll value per diluted share within $0.01 of engine (OK/BREAK)</t>
  </si>
  <si>
    <t>Check — spot value per diluted share within $0.01 of engine (OK/BREAK)</t>
  </si>
  <si>
    <t>Duolingo, Inc. — Sensitivity Matrix, Scenario Spectrum &amp; Master Audit Ledger</t>
  </si>
  <si>
    <t>2D WACC × g sensitivity grid, multi-parameter operating sensitivities, scenario spectrum, and master audit ledger</t>
  </si>
  <si>
    <t>Precomputed snapshot: values below are written at build time from the canonical dated-seam model. NO live Excel Data Tables. Audit checks are fully live.</t>
  </si>
  <si>
    <t>Sensitivity Analysis &amp; Master Audit Check Ledger</t>
  </si>
  <si>
    <t>Low / Bear</t>
  </si>
  <si>
    <t>Base / Mid</t>
  </si>
  <si>
    <t>High / Bull</t>
  </si>
  <si>
    <t>Unit / Delta</t>
  </si>
  <si>
    <t>Status</t>
  </si>
  <si>
    <t>Audit Gate</t>
  </si>
  <si>
    <t>BASIS — headline inputs, live from 00_Cover and 10_DCF</t>
  </si>
  <si>
    <t>Headline WACC (live from 00_Cover)</t>
  </si>
  <si>
    <t>Headline terminal growth g (live from 00_Cover)</t>
  </si>
  <si>
    <t>Headline canonical value per share (live from 10_DCF)</t>
  </si>
  <si>
    <t>SCENARIOS — precomputed bear/base/bull engine outputs (each a full chain; base == headline)</t>
  </si>
  <si>
    <t>Scenario output</t>
  </si>
  <si>
    <t>bear</t>
  </si>
  <si>
    <t>base</t>
  </si>
  <si>
    <t>bull</t>
  </si>
  <si>
    <t>Scenario WACC (discount rate)</t>
  </si>
  <si>
    <t>Scenario terminal growth rate g</t>
  </si>
  <si>
    <t>Net cash at effective valuation date</t>
  </si>
  <si>
    <t>Canonical value per diluted share</t>
  </si>
  <si>
    <t>Value per diluted share — finite roll</t>
  </si>
  <si>
    <t>Value per diluted share — spot</t>
  </si>
  <si>
    <t>FY2026 revenue (scenario operating anchor)</t>
  </si>
  <si>
    <t>FY2026 operating income (scenario operating anchor)</t>
  </si>
  <si>
    <t>Check — scenario base canonical equals headline within $0.01 (OK/BREAK)</t>
  </si>
  <si>
    <t>Check — bear canonical is below base (OK/BREAK)</t>
  </si>
  <si>
    <t>Check — bull canonical is above base (OK/BREAK)</t>
  </si>
  <si>
    <t>Check — bear EV is below base EV (OK/BREAK)</t>
  </si>
  <si>
    <t>Check — bull EV is above base EV (OK/BREAK)</t>
  </si>
  <si>
    <t>Check — scenario equity foots to EV + net cash, every scenario (OK/BREAK)</t>
  </si>
  <si>
    <t>WACC × TERMINAL-GROWTH GRID — precomputed 9x5 canonical per share (WACC +-200 bps x g 1.0%-3.0%; centre == headline)</t>
  </si>
  <si>
    <t>g across, WACC down</t>
  </si>
  <si>
    <t>WACC</t>
  </si>
  <si>
    <t>WACC 9.12% (-200 bps)</t>
  </si>
  <si>
    <t>WACC 9.62% (-150 bps)</t>
  </si>
  <si>
    <t>WACC 10.12% (-100 bps)</t>
  </si>
  <si>
    <t>WACC 10.62% (-50 bps)</t>
  </si>
  <si>
    <t>WACC 11.12% (+0 bps)</t>
  </si>
  <si>
    <t>WACC 11.62% (+50 bps)</t>
  </si>
  <si>
    <t>WACC 12.12% (+100 bps)</t>
  </si>
  <si>
    <t>WACC 12.62% (+150 bps)</t>
  </si>
  <si>
    <t>WACC 13.12% (+200 bps)</t>
  </si>
  <si>
    <t>Check — grid WACC axis low equals base - 200 bps (OK/BREAK)</t>
  </si>
  <si>
    <t>Check — grid WACC axis high equals base + 200 bps (OK/BREAK)</t>
  </si>
  <si>
    <t>Check — grid WACC axis centres on headline basis (OK/BREAK)</t>
  </si>
  <si>
    <t>Check — grid g axis low is 1.0% (OK/BREAK)</t>
  </si>
  <si>
    <t>Check — grid g axis high is 3.0% (OK/BREAK)</t>
  </si>
  <si>
    <t>Check — grid headline-g column carries headline g (OK/BREAK)</t>
  </si>
  <si>
    <t>Check — grid centre (base WACC, base g) equals headline within $0.01 (OK/BREAK)</t>
  </si>
  <si>
    <t>Check — grid falls as WACC rises, low-g edge (OK/BREAK)</t>
  </si>
  <si>
    <t>Check — grid falls as WACC rises, high-g edge (OK/BREAK)</t>
  </si>
  <si>
    <t>Check — grid rises as g rises, low-WACC edge (OK/BREAK)</t>
  </si>
  <si>
    <t>Check — grid rises as g rises, high-WACC edge (OK/BREAK)</t>
  </si>
  <si>
    <t>OPERATING SENSITIVITIES — one-way perturbations, full-chain revaluation to dated-seam canonical (base == headline)</t>
  </si>
  <si>
    <t>Operating sensitivity (canonical per share)</t>
  </si>
  <si>
    <t>Driver low</t>
  </si>
  <si>
    <t>Driver high</t>
  </si>
  <si>
    <t>Revenue sensitivity — paid subscriber growth +-100 bps</t>
  </si>
  <si>
    <t>Margin sensitivity — cost of revenue +-100 bps (driver high lowers value)</t>
  </si>
  <si>
    <t>SBC sensitivity — SBC target +-100 bps (driver high lowers value)</t>
  </si>
  <si>
    <t>Dilution sensitivity — perpetual dilution d_perm 0% / 1% / 2%</t>
  </si>
  <si>
    <t>Revenue — paid subscriber growth — live deltas vs base (low-base, high-base)</t>
  </si>
  <si>
    <t>Margin — cost of revenue % revenue — live deltas vs base (low-base, high-base)</t>
  </si>
  <si>
    <t>SBC — SBC target % revenue — live deltas vs base (low-base, high-base)</t>
  </si>
  <si>
    <t>Dilution — perpetual dilution d_perm — live deltas vs base (low-base, high-base)</t>
  </si>
  <si>
    <t>Check — revenue base equals headline (OK/BREAK)</t>
  </si>
  <si>
    <t>Check — margin base equals headline (OK/BREAK)</t>
  </si>
  <si>
    <t>Check — SBC base equals headline (OK/BREAK)</t>
  </si>
  <si>
    <t>Check — dilution base equals headline (OK/BREAK)</t>
  </si>
  <si>
    <t>Check — higher subscriber growth raises value (OK/BREAK)</t>
  </si>
  <si>
    <t>Check — lower subscriber growth lowers value (OK/BREAK)</t>
  </si>
  <si>
    <t>Check — higher cost of revenue lowers value (OK/BREAK)</t>
  </si>
  <si>
    <t>Check — lower cost of revenue raises value (OK/BREAK)</t>
  </si>
  <si>
    <t>Check — higher SBC lowers value (OK/BREAK)</t>
  </si>
  <si>
    <t>Check — lower SBC raises value (OK/BREAK)</t>
  </si>
  <si>
    <t>Check — higher perpetual dilution lowers value (OK/BREAK)</t>
  </si>
  <si>
    <t>Check — zero perpetual dilution raises value (OK/BREAK)</t>
  </si>
  <si>
    <t>MASTER AUDIT INTEGRITY CHECK LEDGER — Consolidated checks across all 12 worksheets (00..11)</t>
  </si>
  <si>
    <t>MASTER MODEL AUDIT INTEGRITY STATUS</t>
  </si>
  <si>
    <t>Tab 00: Cover canonical price matches 10_DCF intrinsic value within $0.01</t>
  </si>
  <si>
    <t>Tab 00: Cover Enterprise Value matches 10_DCF EV within $1k tolerance</t>
  </si>
  <si>
    <t>Tab 00: Cover Net Cash matches 10_DCF Net Cash within $1k tolerance</t>
  </si>
  <si>
    <t>Tab 02: Historical balance sheet assets equal liabilities and equity</t>
  </si>
  <si>
    <t>Tab 02: Historical cash flow ending cash reconciles to balance sheet cash</t>
  </si>
  <si>
    <t>Tab 02: Historical EBITDA bridge subtotal + other adjustments = cited EBITDA</t>
  </si>
  <si>
    <t>Tab 02: EBITDA bridge residual magnitude tripwire (residual ÷ revenue &lt;= 7.5%)</t>
  </si>
  <si>
    <t>Tab 03: Deferred revenue roll-forward closing balance ties driver target</t>
  </si>
  <si>
    <t>Tab 03: Consolidated recognized revenue matches engine total</t>
  </si>
  <si>
    <t>Tab 04: Gross profit foots cleanly (Revenue − Cost of Revenue)</t>
  </si>
  <si>
    <t>Tab 04: Operating income foots cleanly (Gross Profit − Total Opex)</t>
  </si>
  <si>
    <t>Tab 05: Total working capital assets equal sum of components</t>
  </si>
  <si>
    <t>Tab 05: Total working capital liabilities equal sum of components</t>
  </si>
  <si>
    <t>Tab 05: Net PP&amp;E roll-forward closes (BOP + Capex − Deprec = EOP)</t>
  </si>
  <si>
    <t>Tab 05: Net Intangibles roll-forward closes (BOP + Add − Amort = EOP)</t>
  </si>
  <si>
    <t>Tab 06: Stock-based compensation expense matches revenue target</t>
  </si>
  <si>
    <t>Tab 06: Modeled income tax provision matches engine tax provision</t>
  </si>
  <si>
    <t>Tab 07: Pretax income foots cleanly (EBIT + Other Income + Solved Interest)</t>
  </si>
  <si>
    <t>Tab 07: Net income foots cleanly (Pretax Income − Income Tax Provision)</t>
  </si>
  <si>
    <t>Tab 07: Closed-form interest income solve matches engine parity solve</t>
  </si>
  <si>
    <t>Tab 07: FY2026 H1 filed pretax + H2 components = full-year pretax</t>
  </si>
  <si>
    <t>Tab 08: Balance Sheet assets = liabilities + stockholders equity</t>
  </si>
  <si>
    <t>Tab 08: Balance Sheet cash line ties Cash Flow statement ending cash</t>
  </si>
  <si>
    <t>Tab 08: Zero-plug articulation (Assets − Liabilities − Equity = $0.00)</t>
  </si>
  <si>
    <t>Tab 09: Cash flow footing (Operating + Investing + Financing = Net Change)</t>
  </si>
  <si>
    <t>Tab 09: Ending cash chains into next period beginning cash</t>
  </si>
  <si>
    <t>Tab 09: FY2026 H2 modeled cash flow block foots to modeled change</t>
  </si>
  <si>
    <t>Tab 10: Pre-valuation + post-valuation days equal FY2026 H2 days (184)</t>
  </si>
  <si>
    <t>Tab 10: WACC equals cost of equity build (rf + beta × ERP)</t>
  </si>
  <si>
    <t>Tab 10: WACC exceeds terminal growth g (positive Gordon denominator)</t>
  </si>
  <si>
    <t>Tab 10: H1 actual + pre-valuation + post-valuation = full FY2026 FCFF</t>
  </si>
  <si>
    <t>Tab 10: Ten present values foot to explicit present value ($3,109,718k)</t>
  </si>
  <si>
    <t>Tab 10: Stage 1 + Stage 2 present values sum to explicit total</t>
  </si>
  <si>
    <t>Tab 10: Equity value equals Enterprise Value + Net Cash ($7,617,064k)</t>
  </si>
  <si>
    <t>Tab 10: Per-share lane ordering holds (Spot $152.15 &gt; Canonical $112.74 &lt;= Finite $113.87)</t>
  </si>
  <si>
    <t>Tab 10: Canonical value per diluted share ties engine anchor within $0.01 ($112.74)</t>
  </si>
  <si>
    <t>Tab 11: 2D Sensitivity grid center cell matches canonical headline ($112.74)</t>
  </si>
  <si>
    <t>Tab 11: Scenario spectrum strict ordering (Bear $61.47 &lt; Base $112.74 &lt; Bull $238.07)</t>
  </si>
  <si>
    <t>Tab 11: Operating sensitivity directional check: higher subscriber growth raises value</t>
  </si>
  <si>
    <t>Tab 11: Operating sensitivity directional check: higher cost of revenue lowers value</t>
  </si>
  <si>
    <t>Tab 11: EV-bridge tripwire: live EV + Net Cash foots to engine equity within tolerance</t>
  </si>
  <si>
    <t>Tab 11: DCF stage tripwire: live explicit PV foots to engine explicit total within tolerance</t>
  </si>
  <si>
    <t>Form 10-K Item 7</t>
  </si>
  <si>
    <t>SEC Form 10-K accession 0001628280-26-012494</t>
  </si>
  <si>
    <t>Form 10-K Item 7 (0001628280-26-012494): 12.2M paid subs / 133.1M MAU = 9.17% (prior draft cited 11.31% baseline)</t>
  </si>
  <si>
    <t>Form 10-K Item 7 (0001628280-26-012494): 52.7M DAU / 133.1M MAU = 39.59% (prior draft cited 37.13%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</si>
</sst>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quot;-&quot;"/>
    <numFmt numFmtId="165" formatCode="\$#,##0;\(\$#,##0\);&quot;-&quot;"/>
    <numFmt numFmtId="166" formatCode="#,##0;\(#,##0\);&quot;-&quot;"/>
    <numFmt numFmtId="167" formatCode="0.0000%"/>
    <numFmt numFmtId="168" formatCode="0.000000"/>
    <numFmt numFmtId="169" formatCode="#,##0.00;\(#,##0.00\);&quot;-&quot;"/>
    <numFmt numFmtId="170" formatCode="0.0000"/>
  </numFmts>
  <fonts count="20" x14ac:knownFonts="1">
    <font>
      <sz val="11"/>
      <color theme="1"/>
      <name val="Calibri"/>
      <family val="2"/>
      <scheme val="minor"/>
    </font>
    <font>
      <b/>
      <sz val="15"/>
      <color rgb="FF1F2937"/>
      <name val="Calibri"/>
      <family val="2"/>
    </font>
    <font>
      <i/>
      <sz val="9.5"/>
      <color rgb="FF6B7280"/>
      <name val="Calibri"/>
      <family val="2"/>
    </font>
    <font>
      <b/>
      <sz val="10"/>
      <color rgb="FF2563EB"/>
      <name val="Calibri"/>
      <family val="2"/>
    </font>
    <font>
      <b/>
      <sz val="10"/>
      <color rgb="FFFFFFFF"/>
      <name val="Calibri"/>
      <family val="2"/>
    </font>
    <font>
      <b/>
      <sz val="10"/>
      <color rgb="FF111827"/>
      <name val="Calibri"/>
      <family val="2"/>
    </font>
    <font>
      <b/>
      <sz val="10"/>
      <color rgb="FF0000CC"/>
      <name val="Calibri"/>
      <family val="2"/>
    </font>
    <font>
      <sz val="9"/>
      <color rgb="FF6B7280"/>
      <name val="Calibri"/>
      <family val="2"/>
    </font>
    <font>
      <sz val="10"/>
      <color rgb="FF111827"/>
      <name val="Calibri"/>
      <family val="2"/>
    </font>
    <font>
      <sz val="10"/>
      <color rgb="FF0000CC"/>
      <name val="Calibri"/>
      <family val="2"/>
    </font>
    <font>
      <b/>
      <sz val="10"/>
      <color rgb="FF991B1B"/>
      <name val="Calibri"/>
      <family val="2"/>
    </font>
    <font>
      <b/>
      <sz val="10"/>
      <color rgb="FF008000"/>
      <name val="Calibri"/>
      <family val="2"/>
    </font>
    <font>
      <b/>
      <u/>
      <sz val="10"/>
      <color rgb="FF0563C1"/>
      <name val="Calibri"/>
      <family val="2"/>
    </font>
    <font>
      <sz val="9.5"/>
      <color rgb="FF111827"/>
      <name val="Calibri"/>
      <family val="2"/>
    </font>
    <font>
      <sz val="10"/>
      <color rgb="FF6B7280"/>
      <name val="Calibri"/>
      <family val="2"/>
    </font>
    <font>
      <sz val="9.5"/>
      <color rgb="FF6B7280"/>
      <name val="Calibri"/>
      <family val="2"/>
    </font>
    <font>
      <sz val="8.5"/>
      <color rgb="FF6B7280"/>
      <name val="Calibri"/>
      <family val="2"/>
    </font>
    <font>
      <sz val="10"/>
      <color rgb="FF008000"/>
      <name val="Calibri"/>
      <family val="2"/>
    </font>
    <font>
      <b/>
      <sz val="12"/>
      <color rgb="FF111827"/>
      <name val="Calibri"/>
      <family val="2"/>
    </font>
    <font>
      <b/>
      <sz val="12"/>
      <color rgb="FF166534"/>
      <name val="Calibri"/>
      <family val="2"/>
    </font>
  </fonts>
  <fills count="6">
    <fill>
      <patternFill patternType="none"/>
    </fill>
    <fill>
      <patternFill patternType="gray125"/>
    </fill>
    <fill>
      <patternFill patternType="solid">
        <fgColor rgb="FF1F2937"/>
      </patternFill>
    </fill>
    <fill>
      <patternFill patternType="solid">
        <fgColor rgb="FF334155"/>
      </patternFill>
    </fill>
    <fill>
      <patternFill patternType="solid">
        <fgColor rgb="FFF8FAFC"/>
      </patternFill>
    </fill>
    <fill>
      <patternFill patternType="solid">
        <fgColor rgb="FFDCFCE7"/>
      </patternFill>
    </fill>
  </fills>
  <borders count="1">
    <border>
      <left/>
      <right/>
      <top/>
      <bottom/>
      <diagonal/>
    </border>
  </borders>
  <cellStyleXfs count="1">
    <xf numFmtId="0" fontId="0" fillId="0" borderId="0"/>
  </cellStyleXfs>
  <cellXfs count="84">
    <xf numFmtId="0" fontId="0" fillId="0" borderId="0" xfId="0"/>
    <xf numFmtId="0" fontId="2" fillId="0" borderId="0" xfId="0" applyFont="1"/>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5" fillId="0" borderId="0" xfId="0" applyFont="1" applyAlignment="1">
      <alignment horizontal="left" vertical="center"/>
    </xf>
    <xf numFmtId="164" fontId="6" fillId="0" borderId="0" xfId="0" applyNumberFormat="1" applyFont="1" applyAlignment="1" applyProtection="1">
      <alignment horizontal="right" vertical="center"/>
      <protection locked="0"/>
    </xf>
    <xf numFmtId="0" fontId="7" fillId="0" borderId="0" xfId="0" applyFont="1"/>
    <xf numFmtId="0" fontId="8" fillId="0" borderId="0" xfId="0" applyFont="1" applyAlignment="1">
      <alignment horizontal="left" vertical="center"/>
    </xf>
    <xf numFmtId="164" fontId="9" fillId="0" borderId="0" xfId="0" applyNumberFormat="1" applyFont="1" applyAlignment="1" applyProtection="1">
      <alignment horizontal="right" vertical="center"/>
      <protection locked="0"/>
    </xf>
    <xf numFmtId="0" fontId="10" fillId="0" borderId="0" xfId="0" applyFont="1" applyAlignment="1">
      <alignment horizontal="right" vertical="center"/>
    </xf>
    <xf numFmtId="0" fontId="5" fillId="0" borderId="0" xfId="0" applyFont="1" applyAlignment="1">
      <alignment horizontal="right" vertical="center"/>
    </xf>
    <xf numFmtId="165" fontId="9" fillId="0" borderId="0" xfId="0" applyNumberFormat="1" applyFont="1" applyAlignment="1" applyProtection="1">
      <alignment horizontal="right" vertical="center"/>
      <protection locked="0"/>
    </xf>
    <xf numFmtId="166" fontId="6" fillId="0" borderId="0" xfId="0" applyNumberFormat="1" applyFont="1" applyAlignment="1" applyProtection="1">
      <alignment horizontal="right" vertical="center"/>
      <protection locked="0"/>
    </xf>
    <xf numFmtId="166" fontId="9" fillId="0" borderId="0" xfId="0" applyNumberFormat="1" applyFont="1" applyAlignment="1" applyProtection="1">
      <alignment horizontal="right" vertical="center"/>
      <protection locked="0"/>
    </xf>
    <xf numFmtId="10" fontId="9" fillId="0" borderId="0" xfId="0" applyNumberFormat="1" applyFont="1" applyAlignment="1" applyProtection="1">
      <alignment horizontal="right" vertical="center"/>
      <protection locked="0"/>
    </xf>
    <xf numFmtId="0" fontId="4" fillId="3" borderId="0" xfId="0" applyFont="1" applyFill="1" applyAlignment="1">
      <alignment horizontal="left" vertical="center" wrapText="1"/>
    </xf>
    <xf numFmtId="0" fontId="4" fillId="3" borderId="0" xfId="0" applyFont="1" applyFill="1" applyAlignment="1">
      <alignment horizontal="center" vertical="center" wrapText="1"/>
    </xf>
    <xf numFmtId="167" fontId="6" fillId="0" borderId="0" xfId="0" applyNumberFormat="1" applyFont="1" applyAlignment="1" applyProtection="1">
      <alignment horizontal="right" vertical="center"/>
      <protection locked="0"/>
    </xf>
    <xf numFmtId="10" fontId="6" fillId="0" borderId="0" xfId="0" applyNumberFormat="1" applyFont="1" applyAlignment="1" applyProtection="1">
      <alignment horizontal="right" vertical="center"/>
      <protection locked="0"/>
    </xf>
    <xf numFmtId="165" fontId="11" fillId="0" borderId="0" xfId="0" applyNumberFormat="1" applyFont="1" applyAlignment="1">
      <alignment horizontal="right" vertical="center"/>
    </xf>
    <xf numFmtId="165" fontId="5" fillId="0" borderId="0" xfId="0" applyNumberFormat="1" applyFont="1" applyAlignment="1">
      <alignment horizontal="right" vertical="center"/>
    </xf>
    <xf numFmtId="0" fontId="12" fillId="0" borderId="0" xfId="0" applyFont="1" applyAlignment="1">
      <alignment horizontal="left" vertical="center"/>
    </xf>
    <xf numFmtId="0" fontId="13" fillId="0" borderId="0" xfId="0" applyFont="1"/>
    <xf numFmtId="0" fontId="4" fillId="3" borderId="0" xfId="0" applyFont="1" applyFill="1" applyAlignment="1">
      <alignment horizontal="left" vertical="center"/>
    </xf>
    <xf numFmtId="0" fontId="14" fillId="0" borderId="0" xfId="0" applyFont="1"/>
    <xf numFmtId="0" fontId="15" fillId="0" borderId="0" xfId="0" applyFont="1"/>
    <xf numFmtId="0" fontId="7" fillId="0" borderId="0" xfId="0" applyFont="1" applyAlignment="1">
      <alignment vertical="center" wrapText="1"/>
    </xf>
    <xf numFmtId="0" fontId="8" fillId="4" borderId="0" xfId="0" applyFont="1" applyFill="1" applyAlignment="1">
      <alignment horizontal="left" vertical="center"/>
    </xf>
    <xf numFmtId="0" fontId="14" fillId="4" borderId="0" xfId="0" applyFont="1" applyFill="1"/>
    <xf numFmtId="166" fontId="6" fillId="4" borderId="0" xfId="0" applyNumberFormat="1" applyFont="1" applyFill="1" applyAlignment="1" applyProtection="1">
      <alignment horizontal="right" vertical="center"/>
      <protection locked="0"/>
    </xf>
    <xf numFmtId="0" fontId="7" fillId="4" borderId="0" xfId="0" applyFont="1" applyFill="1" applyAlignment="1">
      <alignment vertical="center" wrapText="1"/>
    </xf>
    <xf numFmtId="0" fontId="6" fillId="0" borderId="0" xfId="0" applyFont="1" applyAlignment="1" applyProtection="1">
      <alignment horizontal="center" vertical="center"/>
      <protection locked="0"/>
    </xf>
    <xf numFmtId="0" fontId="14" fillId="0" borderId="0" xfId="0" applyFont="1" applyAlignment="1">
      <alignment horizontal="right" vertical="center"/>
    </xf>
    <xf numFmtId="0" fontId="16" fillId="0" borderId="0" xfId="0" applyFont="1"/>
    <xf numFmtId="0" fontId="8" fillId="0" borderId="0" xfId="0" applyFont="1" applyAlignment="1">
      <alignment horizontal="left" vertical="center" indent="1"/>
    </xf>
    <xf numFmtId="165" fontId="6" fillId="0" borderId="0" xfId="0" applyNumberFormat="1" applyFont="1" applyAlignment="1" applyProtection="1">
      <alignment horizontal="right" vertical="center"/>
      <protection locked="0"/>
    </xf>
    <xf numFmtId="165" fontId="8" fillId="0" borderId="0" xfId="0" applyNumberFormat="1" applyFont="1" applyAlignment="1">
      <alignment horizontal="right" vertical="center"/>
    </xf>
    <xf numFmtId="49" fontId="5" fillId="0" borderId="0" xfId="0" applyNumberFormat="1" applyFont="1" applyAlignment="1">
      <alignment horizontal="center" vertical="center"/>
    </xf>
    <xf numFmtId="0" fontId="14" fillId="0" borderId="0" xfId="0" applyFont="1" applyAlignment="1">
      <alignment horizontal="center"/>
    </xf>
    <xf numFmtId="166" fontId="8" fillId="0" borderId="0" xfId="0" applyNumberFormat="1" applyFont="1" applyAlignment="1">
      <alignment horizontal="right" vertical="center"/>
    </xf>
    <xf numFmtId="166" fontId="11" fillId="0" borderId="0" xfId="0" applyNumberFormat="1" applyFont="1" applyAlignment="1">
      <alignment horizontal="right" vertical="center"/>
    </xf>
    <xf numFmtId="10" fontId="8" fillId="0" borderId="0" xfId="0" applyNumberFormat="1" applyFont="1" applyAlignment="1">
      <alignment horizontal="right" vertical="center"/>
    </xf>
    <xf numFmtId="0" fontId="14" fillId="0" borderId="0" xfId="0" applyFont="1" applyAlignment="1">
      <alignment horizontal="left" vertical="center" indent="1"/>
    </xf>
    <xf numFmtId="10" fontId="17" fillId="0" borderId="0" xfId="0" applyNumberFormat="1" applyFont="1" applyAlignment="1">
      <alignment horizontal="right" vertical="center"/>
    </xf>
    <xf numFmtId="0" fontId="14" fillId="0" borderId="0" xfId="0" applyFont="1" applyAlignment="1">
      <alignment horizontal="right"/>
    </xf>
    <xf numFmtId="167" fontId="9" fillId="0" borderId="0" xfId="0" applyNumberFormat="1" applyFont="1" applyAlignment="1" applyProtection="1">
      <alignment horizontal="right" vertical="center"/>
      <protection locked="0"/>
    </xf>
    <xf numFmtId="10" fontId="11" fillId="0" borderId="0" xfId="0" applyNumberFormat="1" applyFont="1" applyAlignment="1">
      <alignment horizontal="right" vertical="center"/>
    </xf>
    <xf numFmtId="165" fontId="17" fillId="0" borderId="0" xfId="0" applyNumberFormat="1" applyFont="1" applyAlignment="1">
      <alignment horizontal="right" vertical="center"/>
    </xf>
    <xf numFmtId="49" fontId="11" fillId="0" borderId="0" xfId="0" applyNumberFormat="1" applyFont="1" applyAlignment="1">
      <alignment horizontal="center" vertical="center"/>
    </xf>
    <xf numFmtId="167" fontId="8" fillId="0" borderId="0" xfId="0" applyNumberFormat="1" applyFont="1" applyAlignment="1">
      <alignment horizontal="right" vertical="center"/>
    </xf>
    <xf numFmtId="167" fontId="17" fillId="0" borderId="0" xfId="0" applyNumberFormat="1" applyFont="1" applyAlignment="1">
      <alignment horizontal="right" vertical="center"/>
    </xf>
    <xf numFmtId="0" fontId="5" fillId="0" borderId="0" xfId="0" applyFont="1" applyAlignment="1">
      <alignment horizontal="left" vertical="center" indent="1"/>
    </xf>
    <xf numFmtId="0" fontId="15" fillId="0" borderId="0" xfId="0" applyFont="1" applyAlignment="1">
      <alignment horizontal="left" vertical="center" indent="1"/>
    </xf>
    <xf numFmtId="0" fontId="14" fillId="0" borderId="0" xfId="0" applyFont="1" applyAlignment="1">
      <alignment horizontal="left" vertical="center" indent="2"/>
    </xf>
    <xf numFmtId="0" fontId="15" fillId="0" borderId="0" xfId="0" applyFont="1" applyAlignment="1">
      <alignment horizontal="left" vertical="center"/>
    </xf>
    <xf numFmtId="49" fontId="17" fillId="0" borderId="0" xfId="0" applyNumberFormat="1" applyFont="1" applyAlignment="1">
      <alignment horizontal="center" vertical="center"/>
    </xf>
    <xf numFmtId="49" fontId="17" fillId="0" borderId="0" xfId="0" applyNumberFormat="1" applyFont="1" applyAlignment="1">
      <alignment horizontal="left" vertical="center"/>
    </xf>
    <xf numFmtId="0" fontId="13" fillId="0" borderId="0" xfId="0" applyFont="1" applyAlignment="1">
      <alignment horizontal="left" vertical="center" indent="1"/>
    </xf>
    <xf numFmtId="49" fontId="9" fillId="0" borderId="0" xfId="0" applyNumberFormat="1" applyFont="1" applyAlignment="1" applyProtection="1">
      <alignment horizontal="right" vertical="center"/>
      <protection locked="0"/>
    </xf>
    <xf numFmtId="168" fontId="8" fillId="0" borderId="0" xfId="0" applyNumberFormat="1" applyFont="1" applyAlignment="1">
      <alignment horizontal="right" vertical="center"/>
    </xf>
    <xf numFmtId="49" fontId="9" fillId="0" borderId="0" xfId="0" applyNumberFormat="1" applyFont="1" applyAlignment="1" applyProtection="1">
      <alignment horizontal="center" vertical="center"/>
      <protection locked="0"/>
    </xf>
    <xf numFmtId="166" fontId="17" fillId="0" borderId="0" xfId="0" applyNumberFormat="1" applyFont="1" applyAlignment="1">
      <alignment horizontal="right" vertical="center"/>
    </xf>
    <xf numFmtId="164" fontId="8" fillId="0" borderId="0" xfId="0" applyNumberFormat="1" applyFont="1" applyAlignment="1">
      <alignment horizontal="right" vertical="center"/>
    </xf>
    <xf numFmtId="0" fontId="7" fillId="0" borderId="0" xfId="0" applyFont="1" applyAlignment="1">
      <alignment horizontal="left" vertical="center" indent="1"/>
    </xf>
    <xf numFmtId="168" fontId="9" fillId="0" borderId="0" xfId="0" applyNumberFormat="1" applyFont="1" applyAlignment="1" applyProtection="1">
      <alignment horizontal="right" vertical="center"/>
      <protection locked="0"/>
    </xf>
    <xf numFmtId="164" fontId="17" fillId="0" borderId="0" xfId="0" applyNumberFormat="1" applyFont="1" applyAlignment="1">
      <alignment horizontal="right" vertical="center"/>
    </xf>
    <xf numFmtId="49" fontId="6" fillId="0" borderId="0" xfId="0" applyNumberFormat="1" applyFont="1" applyAlignment="1" applyProtection="1">
      <alignment horizontal="center" vertical="center"/>
      <protection locked="0"/>
    </xf>
    <xf numFmtId="0" fontId="0" fillId="0" borderId="0" xfId="0" applyAlignment="1">
      <alignment horizontal="center"/>
    </xf>
    <xf numFmtId="0" fontId="18" fillId="0" borderId="0" xfId="0" applyFont="1" applyAlignment="1">
      <alignment horizontal="left" vertical="center"/>
    </xf>
    <xf numFmtId="49" fontId="19" fillId="5" borderId="0" xfId="0" applyNumberFormat="1" applyFont="1" applyFill="1" applyAlignment="1">
      <alignment horizontal="center" vertical="center"/>
    </xf>
    <xf numFmtId="10" fontId="6" fillId="4" borderId="0" xfId="0" applyNumberFormat="1" applyFont="1" applyFill="1" applyAlignment="1" applyProtection="1">
      <alignment horizontal="right" vertical="center"/>
      <protection locked="0"/>
    </xf>
    <xf numFmtId="167" fontId="6" fillId="4" borderId="0" xfId="0" applyNumberFormat="1" applyFont="1" applyFill="1" applyAlignment="1" applyProtection="1">
      <alignment horizontal="right" vertical="center"/>
      <protection locked="0"/>
    </xf>
    <xf numFmtId="169" fontId="6" fillId="0" borderId="0" xfId="0" applyNumberFormat="1" applyFont="1" applyAlignment="1" applyProtection="1">
      <alignment horizontal="right" vertical="center"/>
      <protection locked="0"/>
    </xf>
    <xf numFmtId="169" fontId="6" fillId="4" borderId="0" xfId="0" applyNumberFormat="1" applyFont="1" applyFill="1" applyAlignment="1" applyProtection="1">
      <alignment horizontal="right" vertical="center"/>
      <protection locked="0"/>
    </xf>
    <xf numFmtId="164" fontId="6" fillId="4" borderId="0" xfId="0" applyNumberFormat="1" applyFont="1" applyFill="1" applyAlignment="1" applyProtection="1">
      <alignment horizontal="right" vertical="center"/>
      <protection locked="0"/>
    </xf>
    <xf numFmtId="165" fontId="6" fillId="4" borderId="0" xfId="0" applyNumberFormat="1" applyFont="1" applyFill="1" applyAlignment="1" applyProtection="1">
      <alignment horizontal="right" vertical="center"/>
      <protection locked="0"/>
    </xf>
    <xf numFmtId="170" fontId="8" fillId="0" borderId="0" xfId="0" applyNumberFormat="1" applyFont="1" applyAlignment="1">
      <alignment horizontal="right" vertical="center"/>
    </xf>
    <xf numFmtId="10" fontId="5" fillId="0" borderId="0" xfId="0" applyNumberFormat="1" applyFont="1" applyAlignment="1">
      <alignment horizontal="right" vertical="center"/>
    </xf>
    <xf numFmtId="0" fontId="1" fillId="0" borderId="0" xfId="0" applyFont="1"/>
    <xf numFmtId="0" fontId="2" fillId="0" borderId="0" xfId="0" applyFont="1"/>
    <xf numFmtId="0" fontId="3" fillId="0" borderId="0" xfId="0" applyFont="1"/>
    <xf numFmtId="0" fontId="13" fillId="0" borderId="0" xfId="0" applyFont="1"/>
    <xf numFmtId="0" fontId="2" fillId="0" borderId="0" xfId="0" applyFont="1" applyAlignment="1">
      <alignment vertical="top" wrapText="1"/>
    </xf>
    <xf numFmtId="0" fontId="7" fillId="0" borderId="0" xfId="0" applyFont="1"/>
  </cellXfs>
  <cellStyles count="1">
    <cellStyle name="Normal" xfId="0" builtinId="0"/>
  </cellStyles>
  <dxfs count="78">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sz val="12"/>
        <color rgb="FF166534"/>
      </font>
      <fill>
        <patternFill patternType="solid">
          <bgColor rgb="FFDCFCE7"/>
        </patternFill>
      </fill>
    </dxf>
    <dxf>
      <font>
        <b/>
        <sz val="12"/>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937"/>
    <pageSetUpPr fitToPage="1"/>
  </sheetPr>
  <dimension ref="A1:L58"/>
  <sheetViews>
    <sheetView workbookViewId="0">
      <pane ySplit="2" topLeftCell="A3" activePane="bottomLeft" state="frozen"/>
      <selection pane="bottomLeft" sqref="A1:L1"/>
    </sheetView>
  </sheetViews>
  <sheetFormatPr defaultRowHeight="14.4" x14ac:dyDescent="0.3"/>
  <cols>
    <col min="1" max="1" width="32" customWidth="1"/>
    <col min="2" max="2" width="38" customWidth="1"/>
    <col min="3" max="3" width="24" customWidth="1"/>
    <col min="4" max="4" width="4" customWidth="1"/>
    <col min="5" max="5" width="26" customWidth="1"/>
    <col min="6" max="6" width="56" customWidth="1"/>
  </cols>
  <sheetData>
    <row r="1" spans="1:12" ht="22.05" customHeight="1" x14ac:dyDescent="0.4">
      <c r="A1" s="78" t="s">
        <v>0</v>
      </c>
      <c r="B1" s="78"/>
      <c r="C1" s="78"/>
      <c r="D1" s="78"/>
      <c r="E1" s="78"/>
      <c r="F1" s="78"/>
      <c r="G1" s="78"/>
      <c r="H1" s="78"/>
      <c r="I1" s="78"/>
      <c r="J1" s="78"/>
      <c r="K1" s="78"/>
      <c r="L1" s="78"/>
    </row>
    <row r="2" spans="1:12" ht="16.05" customHeight="1" x14ac:dyDescent="0.3">
      <c r="A2" s="79" t="s">
        <v>1</v>
      </c>
      <c r="B2" s="79"/>
      <c r="C2" s="79"/>
      <c r="D2" s="79"/>
      <c r="E2" s="79"/>
      <c r="F2" s="79"/>
      <c r="G2" s="79"/>
      <c r="H2" s="79"/>
      <c r="I2" s="79"/>
      <c r="J2" s="79"/>
      <c r="K2" s="79"/>
      <c r="L2" s="79"/>
    </row>
    <row r="4" spans="1:12" x14ac:dyDescent="0.3">
      <c r="A4" s="80" t="s">
        <v>2</v>
      </c>
      <c r="B4" s="80"/>
      <c r="C4" s="80"/>
      <c r="D4" s="80"/>
      <c r="E4" s="80"/>
      <c r="F4" s="80"/>
    </row>
    <row r="6" spans="1:12" ht="19.95" customHeight="1" x14ac:dyDescent="0.3">
      <c r="A6" s="2" t="s">
        <v>3</v>
      </c>
      <c r="B6" s="3" t="s">
        <v>4</v>
      </c>
      <c r="C6" s="3" t="s">
        <v>4</v>
      </c>
    </row>
    <row r="7" spans="1:12" x14ac:dyDescent="0.3">
      <c r="A7" s="4" t="s">
        <v>5</v>
      </c>
      <c r="B7" s="5">
        <f>Sens_Headline_Canonical</f>
        <v>112.74136039195821</v>
      </c>
      <c r="C7" s="6" t="s">
        <v>6</v>
      </c>
    </row>
    <row r="8" spans="1:12" x14ac:dyDescent="0.3">
      <c r="A8" s="7" t="s">
        <v>7</v>
      </c>
      <c r="B8" s="8">
        <v>152.15</v>
      </c>
      <c r="C8" s="6" t="s">
        <v>8</v>
      </c>
    </row>
    <row r="9" spans="1:12" x14ac:dyDescent="0.3">
      <c r="A9" s="4" t="s">
        <v>9</v>
      </c>
      <c r="B9" s="9" t="str">
        <f>IF(Cover_CanonicalPrice&lt;Cover_MarketPrice,"OVERVALUED ("&amp;TEXT(Cover_CanonicalPrice/Cover_MarketPrice-1,"0.00%")&amp;")","UNDERVALUED (+"&amp;TEXT(Cover_CanonicalPrice/Cover_MarketPrice-1,"0.00%")&amp;")")</f>
        <v>OVERVALUED (-25.90%)</v>
      </c>
      <c r="C9" s="6" t="s">
        <v>10</v>
      </c>
    </row>
    <row r="10" spans="1:12" x14ac:dyDescent="0.3">
      <c r="A10" s="7" t="s">
        <v>11</v>
      </c>
      <c r="B10" s="10" t="s">
        <v>12</v>
      </c>
      <c r="C10" s="6" t="s">
        <v>13</v>
      </c>
    </row>
    <row r="11" spans="1:12" x14ac:dyDescent="0.3">
      <c r="A11" s="7" t="s">
        <v>14</v>
      </c>
      <c r="B11" s="11">
        <v>6181615.2300000004</v>
      </c>
      <c r="C11" s="6" t="s">
        <v>15</v>
      </c>
    </row>
    <row r="12" spans="1:12" x14ac:dyDescent="0.3">
      <c r="A12" s="7" t="s">
        <v>16</v>
      </c>
      <c r="B12" s="11">
        <v>1435448.73</v>
      </c>
      <c r="C12" s="6" t="s">
        <v>17</v>
      </c>
    </row>
    <row r="13" spans="1:12" x14ac:dyDescent="0.3">
      <c r="A13" s="7" t="s">
        <v>18</v>
      </c>
      <c r="B13" s="11">
        <v>7617063.96</v>
      </c>
      <c r="C13" s="6" t="s">
        <v>19</v>
      </c>
    </row>
    <row r="14" spans="1:12" x14ac:dyDescent="0.3">
      <c r="A14" s="4" t="s">
        <v>20</v>
      </c>
      <c r="B14" s="12">
        <v>67562285.299999997</v>
      </c>
      <c r="C14" s="6" t="s">
        <v>21</v>
      </c>
    </row>
    <row r="15" spans="1:12" x14ac:dyDescent="0.3">
      <c r="A15" s="7" t="s">
        <v>22</v>
      </c>
      <c r="B15" s="13">
        <v>50061458</v>
      </c>
      <c r="C15" s="6" t="s">
        <v>23</v>
      </c>
    </row>
    <row r="16" spans="1:12" x14ac:dyDescent="0.3">
      <c r="A16" s="7" t="s">
        <v>24</v>
      </c>
      <c r="B16" s="8">
        <v>113.87</v>
      </c>
      <c r="C16" s="6" t="s">
        <v>25</v>
      </c>
    </row>
    <row r="17" spans="1:3" x14ac:dyDescent="0.3">
      <c r="A17" s="7" t="s">
        <v>26</v>
      </c>
      <c r="B17" s="8">
        <v>119.26</v>
      </c>
      <c r="C17" s="6" t="s">
        <v>27</v>
      </c>
    </row>
    <row r="18" spans="1:3" x14ac:dyDescent="0.3">
      <c r="A18" s="7" t="s">
        <v>28</v>
      </c>
      <c r="B18" s="14">
        <v>7.4999999999999997E-2</v>
      </c>
      <c r="C18" s="6" t="s">
        <v>29</v>
      </c>
    </row>
    <row r="20" spans="1:3" ht="19.95" customHeight="1" x14ac:dyDescent="0.3">
      <c r="A20" s="15" t="s">
        <v>30</v>
      </c>
      <c r="B20" s="16" t="s">
        <v>4</v>
      </c>
      <c r="C20" s="16" t="s">
        <v>4</v>
      </c>
    </row>
    <row r="21" spans="1:3" x14ac:dyDescent="0.3">
      <c r="A21" s="7" t="s">
        <v>31</v>
      </c>
      <c r="B21" s="7" t="s">
        <v>32</v>
      </c>
      <c r="C21" s="6" t="s">
        <v>33</v>
      </c>
    </row>
    <row r="22" spans="1:3" x14ac:dyDescent="0.3">
      <c r="A22" s="7" t="s">
        <v>34</v>
      </c>
      <c r="B22" s="7" t="s">
        <v>35</v>
      </c>
      <c r="C22" s="6" t="s">
        <v>36</v>
      </c>
    </row>
    <row r="23" spans="1:3" x14ac:dyDescent="0.3">
      <c r="A23" s="7" t="s">
        <v>37</v>
      </c>
      <c r="B23" s="15" t="str">
        <f>Control_Scenario</f>
        <v>base</v>
      </c>
      <c r="C23" s="6" t="s">
        <v>39</v>
      </c>
    </row>
    <row r="24" spans="1:3" x14ac:dyDescent="0.3">
      <c r="A24" s="7" t="s">
        <v>40</v>
      </c>
      <c r="B24" s="17">
        <v>0.111225</v>
      </c>
      <c r="C24" s="6" t="s">
        <v>41</v>
      </c>
    </row>
    <row r="25" spans="1:3" x14ac:dyDescent="0.3">
      <c r="A25" s="7" t="s">
        <v>42</v>
      </c>
      <c r="B25" s="18">
        <v>2.5000000000000001E-2</v>
      </c>
      <c r="C25" s="6" t="s">
        <v>43</v>
      </c>
    </row>
    <row r="26" spans="1:3" x14ac:dyDescent="0.3">
      <c r="A26" s="7" t="s">
        <v>44</v>
      </c>
      <c r="B26" s="7" t="s">
        <v>45</v>
      </c>
      <c r="C26" s="6" t="s">
        <v>46</v>
      </c>
    </row>
    <row r="27" spans="1:3" x14ac:dyDescent="0.3">
      <c r="A27" s="7" t="s">
        <v>47</v>
      </c>
      <c r="B27" s="7" t="s">
        <v>48</v>
      </c>
      <c r="C27" s="6" t="s">
        <v>49</v>
      </c>
    </row>
    <row r="28" spans="1:3" x14ac:dyDescent="0.3">
      <c r="A28" s="7" t="s">
        <v>50</v>
      </c>
      <c r="B28" s="7" t="s">
        <v>51</v>
      </c>
      <c r="C28" s="6" t="s">
        <v>52</v>
      </c>
    </row>
    <row r="29" spans="1:3" x14ac:dyDescent="0.3">
      <c r="A29" s="7" t="s">
        <v>53</v>
      </c>
      <c r="B29" s="7" t="s">
        <v>54</v>
      </c>
      <c r="C29" s="6" t="s">
        <v>55</v>
      </c>
    </row>
    <row r="30" spans="1:3" x14ac:dyDescent="0.3">
      <c r="A30" s="7" t="s">
        <v>56</v>
      </c>
      <c r="B30" s="19">
        <f>BS_Cash_Q2FY26+BS_STI_Q2FY26+BS_LTI_Q2FY26</f>
        <v>1416559</v>
      </c>
      <c r="C30" s="6" t="s">
        <v>57</v>
      </c>
    </row>
    <row r="31" spans="1:3" x14ac:dyDescent="0.3">
      <c r="A31" s="7" t="s">
        <v>58</v>
      </c>
      <c r="B31" s="11">
        <v>18889.73</v>
      </c>
      <c r="C31" s="6" t="s">
        <v>59</v>
      </c>
    </row>
    <row r="32" spans="1:3" x14ac:dyDescent="0.3">
      <c r="A32" s="7" t="s">
        <v>60</v>
      </c>
      <c r="B32" s="20">
        <f>B30+B31</f>
        <v>1435448.73</v>
      </c>
      <c r="C32" s="6" t="s">
        <v>61</v>
      </c>
    </row>
    <row r="34" spans="1:6" ht="19.95" customHeight="1" x14ac:dyDescent="0.3">
      <c r="A34" s="15" t="s">
        <v>62</v>
      </c>
      <c r="B34" s="16" t="s">
        <v>4</v>
      </c>
      <c r="C34" s="16" t="s">
        <v>4</v>
      </c>
    </row>
    <row r="35" spans="1:6" x14ac:dyDescent="0.3">
      <c r="A35" s="21" t="s">
        <v>63</v>
      </c>
      <c r="B35" s="81" t="s">
        <v>64</v>
      </c>
      <c r="C35" s="81"/>
      <c r="D35" s="81"/>
      <c r="E35" s="81"/>
      <c r="F35" s="81"/>
    </row>
    <row r="36" spans="1:6" x14ac:dyDescent="0.3">
      <c r="A36" s="21" t="s">
        <v>65</v>
      </c>
      <c r="B36" s="81" t="s">
        <v>66</v>
      </c>
      <c r="C36" s="81"/>
      <c r="D36" s="81"/>
      <c r="E36" s="81"/>
      <c r="F36" s="81"/>
    </row>
    <row r="37" spans="1:6" x14ac:dyDescent="0.3">
      <c r="A37" s="21" t="s">
        <v>67</v>
      </c>
      <c r="B37" s="81" t="s">
        <v>68</v>
      </c>
      <c r="C37" s="81"/>
      <c r="D37" s="81"/>
      <c r="E37" s="81"/>
      <c r="F37" s="81"/>
    </row>
    <row r="38" spans="1:6" x14ac:dyDescent="0.3">
      <c r="A38" s="21" t="s">
        <v>69</v>
      </c>
      <c r="B38" s="81" t="s">
        <v>70</v>
      </c>
      <c r="C38" s="81"/>
      <c r="D38" s="81"/>
      <c r="E38" s="81"/>
      <c r="F38" s="81"/>
    </row>
    <row r="39" spans="1:6" x14ac:dyDescent="0.3">
      <c r="A39" s="21" t="s">
        <v>71</v>
      </c>
      <c r="B39" s="81" t="s">
        <v>72</v>
      </c>
      <c r="C39" s="81"/>
      <c r="D39" s="81"/>
      <c r="E39" s="81"/>
      <c r="F39" s="81"/>
    </row>
    <row r="40" spans="1:6" x14ac:dyDescent="0.3">
      <c r="A40" s="21" t="s">
        <v>73</v>
      </c>
      <c r="B40" s="81" t="s">
        <v>74</v>
      </c>
      <c r="C40" s="81"/>
      <c r="D40" s="81"/>
      <c r="E40" s="81"/>
      <c r="F40" s="81"/>
    </row>
    <row r="41" spans="1:6" x14ac:dyDescent="0.3">
      <c r="A41" s="21" t="s">
        <v>75</v>
      </c>
      <c r="B41" s="81" t="s">
        <v>76</v>
      </c>
      <c r="C41" s="81"/>
      <c r="D41" s="81"/>
      <c r="E41" s="81"/>
      <c r="F41" s="81"/>
    </row>
    <row r="42" spans="1:6" x14ac:dyDescent="0.3">
      <c r="A42" s="21" t="s">
        <v>77</v>
      </c>
      <c r="B42" s="81" t="s">
        <v>78</v>
      </c>
      <c r="C42" s="81"/>
      <c r="D42" s="81"/>
      <c r="E42" s="81"/>
      <c r="F42" s="81"/>
    </row>
    <row r="43" spans="1:6" x14ac:dyDescent="0.3">
      <c r="A43" s="21" t="s">
        <v>79</v>
      </c>
      <c r="B43" s="81" t="s">
        <v>80</v>
      </c>
      <c r="C43" s="81"/>
      <c r="D43" s="81"/>
      <c r="E43" s="81"/>
      <c r="F43" s="81"/>
    </row>
    <row r="44" spans="1:6" x14ac:dyDescent="0.3">
      <c r="A44" s="21" t="s">
        <v>81</v>
      </c>
      <c r="B44" s="81" t="s">
        <v>82</v>
      </c>
      <c r="C44" s="81"/>
      <c r="D44" s="81"/>
      <c r="E44" s="81"/>
      <c r="F44" s="81"/>
    </row>
    <row r="45" spans="1:6" x14ac:dyDescent="0.3">
      <c r="A45" s="21" t="s">
        <v>83</v>
      </c>
      <c r="B45" s="81" t="s">
        <v>84</v>
      </c>
      <c r="C45" s="81"/>
      <c r="D45" s="81"/>
      <c r="E45" s="81"/>
      <c r="F45" s="81"/>
    </row>
    <row r="46" spans="1:6" x14ac:dyDescent="0.3">
      <c r="A46" s="21" t="s">
        <v>85</v>
      </c>
      <c r="B46" s="81" t="s">
        <v>86</v>
      </c>
      <c r="C46" s="81"/>
      <c r="D46" s="81"/>
      <c r="E46" s="81"/>
      <c r="F46" s="81"/>
    </row>
    <row r="48" spans="1:6" ht="19.95" customHeight="1" x14ac:dyDescent="0.3">
      <c r="A48" s="15" t="s">
        <v>87</v>
      </c>
      <c r="B48" s="16" t="s">
        <v>4</v>
      </c>
      <c r="C48" s="16" t="s">
        <v>4</v>
      </c>
    </row>
    <row r="49" spans="1:6" ht="30" customHeight="1" x14ac:dyDescent="0.3">
      <c r="A49" s="82" t="s">
        <v>88</v>
      </c>
      <c r="B49" s="82"/>
      <c r="C49" s="82"/>
      <c r="D49" s="82"/>
      <c r="E49" s="82"/>
      <c r="F49" s="82"/>
    </row>
    <row r="51" spans="1:6" ht="19.95" customHeight="1" x14ac:dyDescent="0.3">
      <c r="A51" s="15" t="s">
        <v>89</v>
      </c>
      <c r="B51" s="16" t="s">
        <v>4</v>
      </c>
      <c r="C51" s="16" t="s">
        <v>4</v>
      </c>
    </row>
    <row r="52" spans="1:6" ht="30" customHeight="1" x14ac:dyDescent="0.3">
      <c r="A52" s="82" t="s">
        <v>90</v>
      </c>
      <c r="B52" s="82"/>
      <c r="C52" s="82"/>
      <c r="D52" s="82"/>
      <c r="E52" s="82"/>
      <c r="F52" s="82"/>
    </row>
    <row r="54" spans="1:6" ht="19.95" customHeight="1" x14ac:dyDescent="0.3">
      <c r="A54" s="15" t="s">
        <v>91</v>
      </c>
      <c r="B54" s="16" t="s">
        <v>4</v>
      </c>
      <c r="C54" s="16" t="s">
        <v>4</v>
      </c>
    </row>
    <row r="55" spans="1:6" x14ac:dyDescent="0.3">
      <c r="A55" s="83" t="s">
        <v>92</v>
      </c>
      <c r="B55" s="83"/>
      <c r="C55" s="83"/>
      <c r="D55" s="83"/>
      <c r="E55" s="83"/>
      <c r="F55" s="83"/>
    </row>
    <row r="56" spans="1:6" x14ac:dyDescent="0.3">
      <c r="A56" s="83" t="s">
        <v>93</v>
      </c>
      <c r="B56" s="83"/>
      <c r="C56" s="83"/>
      <c r="D56" s="83"/>
      <c r="E56" s="83"/>
      <c r="F56" s="83"/>
    </row>
    <row r="57" spans="1:6" x14ac:dyDescent="0.3">
      <c r="A57" s="83" t="s">
        <v>94</v>
      </c>
      <c r="B57" s="83"/>
      <c r="C57" s="83"/>
      <c r="D57" s="83"/>
      <c r="E57" s="83"/>
      <c r="F57" s="83"/>
    </row>
    <row r="58" spans="1:6" x14ac:dyDescent="0.3">
      <c r="A58" s="83" t="s">
        <v>95</v>
      </c>
      <c r="B58" s="83"/>
      <c r="C58" s="83"/>
      <c r="D58" s="83"/>
      <c r="E58" s="83"/>
      <c r="F58" s="83"/>
    </row>
  </sheetData>
  <sheetProtection sheet="1"/>
  <mergeCells count="21">
    <mergeCell ref="A58:F58"/>
    <mergeCell ref="A49:F49"/>
    <mergeCell ref="A52:F52"/>
    <mergeCell ref="A55:F55"/>
    <mergeCell ref="A56:F56"/>
    <mergeCell ref="A57:F57"/>
    <mergeCell ref="B42:F42"/>
    <mergeCell ref="B43:F43"/>
    <mergeCell ref="B44:F44"/>
    <mergeCell ref="B45:F45"/>
    <mergeCell ref="B46:F46"/>
    <mergeCell ref="B37:F37"/>
    <mergeCell ref="B38:F38"/>
    <mergeCell ref="B39:F39"/>
    <mergeCell ref="B40:F40"/>
    <mergeCell ref="B41:F41"/>
    <mergeCell ref="A1:L1"/>
    <mergeCell ref="A2:L2"/>
    <mergeCell ref="A4:F4"/>
    <mergeCell ref="B35:F35"/>
    <mergeCell ref="B36:F36"/>
  </mergeCells>
  <hyperlinks>
    <hyperlink ref="A35" location="00_Cover!A1" display="00_Cover" xr:uid="{00000000-0004-0000-0000-000000000000}"/>
    <hyperlink ref="A36" location="01_Assumptions!A1" display="01_Assumptions" xr:uid="{00000000-0004-0000-0000-000001000000}"/>
    <hyperlink ref="A37" location="02_Historicals!A1" display="02_Historicals" xr:uid="{00000000-0004-0000-0000-000002000000}"/>
    <hyperlink ref="A38" location="03_Revenue!A1" display="03_Revenue" xr:uid="{00000000-0004-0000-0000-000003000000}"/>
    <hyperlink ref="A39" location="04_Costs!A1" display="04_Costs" xr:uid="{00000000-0004-0000-0000-000004000000}"/>
    <hyperlink ref="A40" location="05_WC_Capex!A1" display="05_WC_Capex" xr:uid="{00000000-0004-0000-0000-000005000000}"/>
    <hyperlink ref="A41" location="06_SBC_Tax_Shares!A1" display="06_SBC_Tax_Shares" xr:uid="{00000000-0004-0000-0000-000006000000}"/>
    <hyperlink ref="A42" location="07_IS!A1" display="07_IS" xr:uid="{00000000-0004-0000-0000-000007000000}"/>
    <hyperlink ref="A43" location="08_BS!A1" display="08_BS" xr:uid="{00000000-0004-0000-0000-000008000000}"/>
    <hyperlink ref="A44" location="09_CF!A1" display="09_CF" xr:uid="{00000000-0004-0000-0000-000009000000}"/>
    <hyperlink ref="A45" location="10_DCF!A1" display="10_DCF" xr:uid="{00000000-0004-0000-0000-00000A000000}"/>
    <hyperlink ref="A46" location="11_Sens_Checks!A1" display="11_Sens_Checks" xr:uid="{00000000-0004-0000-0000-00000B000000}"/>
  </hyperlinks>
  <pageMargins left="0.7" right="0.7" top="0.75" bottom="0.75" header="0.3" footer="0.3"/>
  <pageSetup fitToHeight="0"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293B"/>
    <pageSetUpPr fitToPage="1"/>
  </sheetPr>
  <dimension ref="A1:L78"/>
  <sheetViews>
    <sheetView workbookViewId="0">
      <pane ySplit="4" topLeftCell="A5" activePane="bottomLeft" state="frozen"/>
      <selection pane="bottomLeft" activeCell="D8" sqref="D8"/>
    </sheetView>
  </sheetViews>
  <sheetFormatPr defaultRowHeight="14.4" x14ac:dyDescent="0.3"/>
  <cols>
    <col min="1" max="1" width="64" customWidth="1"/>
    <col min="2" max="2" width="20" customWidth="1"/>
    <col min="3" max="3" width="16" customWidth="1"/>
    <col min="4" max="4" width="10" customWidth="1"/>
    <col min="5" max="6" width="0" hidden="1" customWidth="1"/>
    <col min="7" max="7" width="90" customWidth="1"/>
  </cols>
  <sheetData>
    <row r="1" spans="1:12" ht="22.05" customHeight="1" x14ac:dyDescent="0.4">
      <c r="A1" s="78" t="s">
        <v>96</v>
      </c>
      <c r="B1" s="78"/>
      <c r="C1" s="78"/>
      <c r="D1" s="78"/>
      <c r="E1" s="78"/>
      <c r="F1" s="78"/>
      <c r="G1" s="78"/>
      <c r="H1" s="78"/>
      <c r="I1" s="78"/>
      <c r="J1" s="78"/>
      <c r="K1" s="78"/>
      <c r="L1" s="78"/>
    </row>
    <row r="2" spans="1:12" ht="16.05" customHeight="1" x14ac:dyDescent="0.3">
      <c r="A2" s="79" t="s">
        <v>97</v>
      </c>
      <c r="B2" s="79"/>
      <c r="C2" s="79"/>
      <c r="D2" s="79"/>
      <c r="E2" s="79"/>
      <c r="F2" s="79"/>
      <c r="G2" s="79"/>
      <c r="H2" s="79"/>
      <c r="I2" s="79"/>
      <c r="J2" s="79"/>
      <c r="K2" s="79"/>
      <c r="L2" s="79"/>
    </row>
    <row r="3" spans="1:12" x14ac:dyDescent="0.3">
      <c r="A3" s="1" t="s">
        <v>98</v>
      </c>
    </row>
    <row r="4" spans="1:12" ht="19.95" customHeight="1" x14ac:dyDescent="0.3">
      <c r="A4" s="2" t="s">
        <v>99</v>
      </c>
      <c r="B4" s="3" t="s">
        <v>100</v>
      </c>
      <c r="C4" s="3" t="s">
        <v>101</v>
      </c>
      <c r="D4" s="3" t="s">
        <v>102</v>
      </c>
      <c r="G4" s="3" t="s">
        <v>103</v>
      </c>
    </row>
    <row r="5" spans="1:12" ht="18" customHeight="1" x14ac:dyDescent="0.3">
      <c r="A5" s="23" t="s">
        <v>104</v>
      </c>
      <c r="B5" s="23" t="s">
        <v>4</v>
      </c>
      <c r="C5" s="23" t="s">
        <v>4</v>
      </c>
      <c r="D5" s="23" t="s">
        <v>4</v>
      </c>
      <c r="G5" s="23" t="s">
        <v>4</v>
      </c>
    </row>
    <row r="6" spans="1:12" x14ac:dyDescent="0.3">
      <c r="A6" s="7" t="s">
        <v>105</v>
      </c>
      <c r="B6" s="24" t="s">
        <v>106</v>
      </c>
      <c r="C6" s="72">
        <v>57.28</v>
      </c>
      <c r="G6" s="26" t="s">
        <v>107</v>
      </c>
    </row>
    <row r="7" spans="1:12" ht="36" x14ac:dyDescent="0.3">
      <c r="A7" s="27" t="s">
        <v>108</v>
      </c>
      <c r="B7" s="28" t="s">
        <v>106</v>
      </c>
      <c r="C7" s="70">
        <v>0.47820000000000001</v>
      </c>
      <c r="G7" s="30" t="s">
        <v>109</v>
      </c>
    </row>
    <row r="8" spans="1:12" x14ac:dyDescent="0.3">
      <c r="A8" s="7" t="s">
        <v>110</v>
      </c>
      <c r="B8" s="24" t="s">
        <v>106</v>
      </c>
      <c r="C8" s="18">
        <v>9.8900000000000002E-2</v>
      </c>
      <c r="G8" s="26" t="s">
        <v>111</v>
      </c>
    </row>
    <row r="9" spans="1:12" x14ac:dyDescent="0.3">
      <c r="A9" s="27" t="s">
        <v>112</v>
      </c>
      <c r="B9" s="28" t="s">
        <v>106</v>
      </c>
      <c r="C9" s="70">
        <v>1.6E-2</v>
      </c>
      <c r="G9" s="30" t="s">
        <v>113</v>
      </c>
    </row>
    <row r="10" spans="1:12" x14ac:dyDescent="0.3">
      <c r="A10" s="7" t="s">
        <v>114</v>
      </c>
      <c r="B10" s="24" t="s">
        <v>106</v>
      </c>
      <c r="C10" s="18">
        <v>1.3599999999999999E-2</v>
      </c>
      <c r="G10" s="26" t="s">
        <v>115</v>
      </c>
    </row>
    <row r="11" spans="1:12" x14ac:dyDescent="0.3">
      <c r="A11" s="27" t="s">
        <v>116</v>
      </c>
      <c r="B11" s="28" t="s">
        <v>106</v>
      </c>
      <c r="C11" s="73">
        <v>10.130000000000001</v>
      </c>
      <c r="G11" s="30" t="s">
        <v>117</v>
      </c>
    </row>
    <row r="12" spans="1:12" x14ac:dyDescent="0.3">
      <c r="A12" s="7" t="s">
        <v>118</v>
      </c>
      <c r="B12" s="24" t="s">
        <v>106</v>
      </c>
      <c r="C12" s="18">
        <v>7.7000000000000002E-3</v>
      </c>
      <c r="G12" s="26" t="s">
        <v>119</v>
      </c>
    </row>
    <row r="13" spans="1:12" x14ac:dyDescent="0.3">
      <c r="A13" s="27" t="s">
        <v>120</v>
      </c>
      <c r="B13" s="28" t="s">
        <v>106</v>
      </c>
      <c r="C13" s="70">
        <v>4.3999999999999997E-2</v>
      </c>
      <c r="G13" s="30" t="s">
        <v>121</v>
      </c>
    </row>
    <row r="14" spans="1:12" x14ac:dyDescent="0.3">
      <c r="A14" s="7" t="s">
        <v>122</v>
      </c>
      <c r="B14" s="24" t="s">
        <v>106</v>
      </c>
      <c r="C14" s="18">
        <v>1.1999999999999999E-3</v>
      </c>
      <c r="G14" s="26" t="s">
        <v>123</v>
      </c>
    </row>
    <row r="15" spans="1:12" ht="18" customHeight="1" x14ac:dyDescent="0.3">
      <c r="A15" s="23" t="s">
        <v>124</v>
      </c>
      <c r="B15" s="23" t="s">
        <v>4</v>
      </c>
      <c r="C15" s="23" t="s">
        <v>4</v>
      </c>
      <c r="D15" s="23" t="s">
        <v>4</v>
      </c>
      <c r="G15" s="23" t="s">
        <v>4</v>
      </c>
    </row>
    <row r="16" spans="1:12" x14ac:dyDescent="0.3">
      <c r="A16" s="7" t="s">
        <v>125</v>
      </c>
      <c r="B16" s="24" t="s">
        <v>126</v>
      </c>
      <c r="C16" s="18">
        <v>1.7399999999999999E-2</v>
      </c>
      <c r="G16" s="26" t="s">
        <v>127</v>
      </c>
    </row>
    <row r="17" spans="1:7" x14ac:dyDescent="0.3">
      <c r="A17" s="27" t="s">
        <v>128</v>
      </c>
      <c r="B17" s="28" t="s">
        <v>126</v>
      </c>
      <c r="C17" s="70">
        <v>8.9999999999999993E-3</v>
      </c>
      <c r="G17" s="30" t="s">
        <v>129</v>
      </c>
    </row>
    <row r="18" spans="1:7" x14ac:dyDescent="0.3">
      <c r="A18" s="7" t="s">
        <v>130</v>
      </c>
      <c r="B18" s="24" t="s">
        <v>126</v>
      </c>
      <c r="C18" s="18">
        <v>2.64E-2</v>
      </c>
      <c r="G18" s="26" t="s">
        <v>131</v>
      </c>
    </row>
    <row r="19" spans="1:7" x14ac:dyDescent="0.3">
      <c r="A19" s="27" t="s">
        <v>132</v>
      </c>
      <c r="B19" s="28" t="s">
        <v>126</v>
      </c>
      <c r="C19" s="70">
        <v>5.0000000000000001E-3</v>
      </c>
      <c r="G19" s="30" t="s">
        <v>133</v>
      </c>
    </row>
    <row r="20" spans="1:7" x14ac:dyDescent="0.3">
      <c r="A20" s="7" t="s">
        <v>134</v>
      </c>
      <c r="B20" s="24" t="s">
        <v>126</v>
      </c>
      <c r="C20" s="18">
        <v>8.8999999999999999E-3</v>
      </c>
      <c r="G20" s="26" t="s">
        <v>135</v>
      </c>
    </row>
    <row r="21" spans="1:7" x14ac:dyDescent="0.3">
      <c r="A21" s="27" t="s">
        <v>136</v>
      </c>
      <c r="B21" s="28" t="s">
        <v>126</v>
      </c>
      <c r="C21" s="70">
        <v>8.9800000000000005E-2</v>
      </c>
      <c r="G21" s="30" t="s">
        <v>137</v>
      </c>
    </row>
    <row r="22" spans="1:7" ht="18" customHeight="1" x14ac:dyDescent="0.3">
      <c r="A22" s="23" t="s">
        <v>138</v>
      </c>
      <c r="B22" s="23" t="s">
        <v>4</v>
      </c>
      <c r="C22" s="23" t="s">
        <v>4</v>
      </c>
      <c r="D22" s="23" t="s">
        <v>4</v>
      </c>
      <c r="G22" s="23" t="s">
        <v>4</v>
      </c>
    </row>
    <row r="23" spans="1:7" x14ac:dyDescent="0.3">
      <c r="A23" s="7" t="s">
        <v>139</v>
      </c>
      <c r="B23" s="24" t="s">
        <v>140</v>
      </c>
      <c r="C23" s="18">
        <v>0.13250000000000001</v>
      </c>
      <c r="G23" s="26" t="s">
        <v>141</v>
      </c>
    </row>
    <row r="24" spans="1:7" ht="24" x14ac:dyDescent="0.3">
      <c r="A24" s="27" t="s">
        <v>142</v>
      </c>
      <c r="B24" s="28" t="s">
        <v>140</v>
      </c>
      <c r="C24" s="70">
        <v>0.08</v>
      </c>
      <c r="G24" s="30" t="s">
        <v>143</v>
      </c>
    </row>
    <row r="25" spans="1:7" ht="18" customHeight="1" x14ac:dyDescent="0.3">
      <c r="A25" s="23" t="s">
        <v>144</v>
      </c>
      <c r="B25" s="23" t="s">
        <v>4</v>
      </c>
      <c r="C25" s="23" t="s">
        <v>4</v>
      </c>
      <c r="D25" s="23" t="s">
        <v>4</v>
      </c>
      <c r="G25" s="23" t="s">
        <v>4</v>
      </c>
    </row>
    <row r="26" spans="1:7" ht="48" x14ac:dyDescent="0.3">
      <c r="A26" s="7" t="s">
        <v>145</v>
      </c>
      <c r="B26" s="24" t="s">
        <v>146</v>
      </c>
      <c r="C26" s="18">
        <v>0.18392900000000001</v>
      </c>
      <c r="G26" s="26" t="s">
        <v>147</v>
      </c>
    </row>
    <row r="27" spans="1:7" ht="36" x14ac:dyDescent="0.3">
      <c r="A27" s="27" t="s">
        <v>148</v>
      </c>
      <c r="B27" s="28" t="s">
        <v>146</v>
      </c>
      <c r="C27" s="74">
        <v>80.501599999999996</v>
      </c>
      <c r="G27" s="30" t="s">
        <v>149</v>
      </c>
    </row>
    <row r="28" spans="1:7" ht="36" x14ac:dyDescent="0.3">
      <c r="A28" s="7" t="s">
        <v>150</v>
      </c>
      <c r="B28" s="24" t="s">
        <v>146</v>
      </c>
      <c r="C28" s="18">
        <v>8.2655999999999993E-2</v>
      </c>
      <c r="G28" s="26" t="s">
        <v>151</v>
      </c>
    </row>
    <row r="29" spans="1:7" ht="24" x14ac:dyDescent="0.3">
      <c r="A29" s="27" t="s">
        <v>152</v>
      </c>
      <c r="B29" s="28" t="s">
        <v>146</v>
      </c>
      <c r="C29" s="70">
        <v>-2.9356E-2</v>
      </c>
      <c r="G29" s="30" t="s">
        <v>153</v>
      </c>
    </row>
    <row r="30" spans="1:7" ht="24" x14ac:dyDescent="0.3">
      <c r="A30" s="7" t="s">
        <v>154</v>
      </c>
      <c r="B30" s="24" t="s">
        <v>146</v>
      </c>
      <c r="C30" s="18">
        <v>-0.17063300000000001</v>
      </c>
      <c r="G30" s="26" t="s">
        <v>155</v>
      </c>
    </row>
    <row r="31" spans="1:7" ht="48" x14ac:dyDescent="0.3">
      <c r="A31" s="27" t="s">
        <v>156</v>
      </c>
      <c r="B31" s="28" t="s">
        <v>146</v>
      </c>
      <c r="C31" s="70">
        <v>0</v>
      </c>
      <c r="G31" s="30" t="s">
        <v>157</v>
      </c>
    </row>
    <row r="32" spans="1:7" ht="24" x14ac:dyDescent="0.3">
      <c r="A32" s="7" t="s">
        <v>158</v>
      </c>
      <c r="B32" s="24" t="s">
        <v>146</v>
      </c>
      <c r="C32" s="18">
        <v>0.04</v>
      </c>
      <c r="G32" s="26" t="s">
        <v>159</v>
      </c>
    </row>
    <row r="33" spans="1:7" ht="18" customHeight="1" x14ac:dyDescent="0.3">
      <c r="A33" s="23" t="s">
        <v>160</v>
      </c>
      <c r="B33" s="23" t="s">
        <v>4</v>
      </c>
      <c r="C33" s="23" t="s">
        <v>4</v>
      </c>
      <c r="D33" s="23" t="s">
        <v>4</v>
      </c>
      <c r="G33" s="23" t="s">
        <v>4</v>
      </c>
    </row>
    <row r="34" spans="1:7" ht="24" x14ac:dyDescent="0.3">
      <c r="A34" s="7" t="s">
        <v>161</v>
      </c>
      <c r="B34" s="24" t="s">
        <v>162</v>
      </c>
      <c r="C34" s="70">
        <v>0.277694</v>
      </c>
      <c r="G34" s="26" t="s">
        <v>163</v>
      </c>
    </row>
    <row r="35" spans="1:7" x14ac:dyDescent="0.3">
      <c r="A35" s="27" t="s">
        <v>164</v>
      </c>
      <c r="B35" s="28" t="s">
        <v>162</v>
      </c>
      <c r="C35" s="18">
        <v>0.29522599999999999</v>
      </c>
      <c r="G35" s="30" t="s">
        <v>165</v>
      </c>
    </row>
    <row r="36" spans="1:7" x14ac:dyDescent="0.3">
      <c r="A36" s="7" t="s">
        <v>166</v>
      </c>
      <c r="B36" s="24" t="s">
        <v>162</v>
      </c>
      <c r="C36" s="70">
        <v>0.121124</v>
      </c>
      <c r="G36" s="26" t="s">
        <v>167</v>
      </c>
    </row>
    <row r="37" spans="1:7" x14ac:dyDescent="0.3">
      <c r="A37" s="27" t="s">
        <v>168</v>
      </c>
      <c r="B37" s="28" t="s">
        <v>162</v>
      </c>
      <c r="C37" s="18">
        <v>0.17529800000000001</v>
      </c>
      <c r="G37" s="30" t="s">
        <v>169</v>
      </c>
    </row>
    <row r="38" spans="1:7" x14ac:dyDescent="0.3">
      <c r="A38" s="7" t="s">
        <v>170</v>
      </c>
      <c r="B38" s="24" t="s">
        <v>162</v>
      </c>
      <c r="C38" s="70">
        <v>1.5510000000000001E-3</v>
      </c>
      <c r="G38" s="26" t="s">
        <v>171</v>
      </c>
    </row>
    <row r="39" spans="1:7" ht="18" customHeight="1" x14ac:dyDescent="0.3">
      <c r="A39" s="23" t="s">
        <v>172</v>
      </c>
      <c r="B39" s="23" t="s">
        <v>4</v>
      </c>
      <c r="C39" s="23" t="s">
        <v>4</v>
      </c>
      <c r="D39" s="23" t="s">
        <v>4</v>
      </c>
      <c r="G39" s="23" t="s">
        <v>4</v>
      </c>
    </row>
    <row r="40" spans="1:7" ht="72" x14ac:dyDescent="0.3">
      <c r="A40" s="7" t="s">
        <v>173</v>
      </c>
      <c r="B40" s="24" t="s">
        <v>174</v>
      </c>
      <c r="C40" s="17">
        <v>0.13422500000000001</v>
      </c>
      <c r="G40" s="26" t="s">
        <v>175</v>
      </c>
    </row>
    <row r="41" spans="1:7" ht="18" customHeight="1" x14ac:dyDescent="0.3">
      <c r="A41" s="23" t="s">
        <v>176</v>
      </c>
      <c r="B41" s="23" t="s">
        <v>4</v>
      </c>
      <c r="C41" s="23" t="s">
        <v>4</v>
      </c>
      <c r="D41" s="23" t="s">
        <v>4</v>
      </c>
      <c r="G41" s="23" t="s">
        <v>4</v>
      </c>
    </row>
    <row r="42" spans="1:7" ht="36" x14ac:dyDescent="0.3">
      <c r="A42" s="7" t="s">
        <v>177</v>
      </c>
      <c r="B42" s="24" t="s">
        <v>178</v>
      </c>
      <c r="C42" s="35">
        <v>139206</v>
      </c>
      <c r="G42" s="26" t="s">
        <v>179</v>
      </c>
    </row>
    <row r="43" spans="1:7" ht="36" x14ac:dyDescent="0.3">
      <c r="A43" s="27" t="s">
        <v>180</v>
      </c>
      <c r="B43" s="28" t="s">
        <v>178</v>
      </c>
      <c r="C43" s="75">
        <v>12570</v>
      </c>
      <c r="G43" s="30" t="s">
        <v>181</v>
      </c>
    </row>
    <row r="44" spans="1:7" ht="36" x14ac:dyDescent="0.3">
      <c r="A44" s="7" t="s">
        <v>182</v>
      </c>
      <c r="B44" s="24" t="s">
        <v>178</v>
      </c>
      <c r="C44" s="35">
        <v>41617</v>
      </c>
      <c r="G44" s="26" t="s">
        <v>183</v>
      </c>
    </row>
    <row r="45" spans="1:7" ht="36" x14ac:dyDescent="0.3">
      <c r="A45" s="27" t="s">
        <v>184</v>
      </c>
      <c r="B45" s="28" t="s">
        <v>178</v>
      </c>
      <c r="C45" s="71">
        <v>4.0178999999999999E-2</v>
      </c>
      <c r="G45" s="30" t="s">
        <v>185</v>
      </c>
    </row>
    <row r="46" spans="1:7" ht="18" customHeight="1" x14ac:dyDescent="0.3">
      <c r="A46" s="23" t="s">
        <v>186</v>
      </c>
      <c r="B46" s="23" t="s">
        <v>4</v>
      </c>
      <c r="C46" s="23" t="s">
        <v>4</v>
      </c>
      <c r="D46" s="23" t="s">
        <v>4</v>
      </c>
      <c r="G46" s="23" t="s">
        <v>4</v>
      </c>
    </row>
    <row r="47" spans="1:7" ht="48" x14ac:dyDescent="0.3">
      <c r="A47" s="7" t="s">
        <v>187</v>
      </c>
      <c r="B47" s="24" t="s">
        <v>188</v>
      </c>
      <c r="C47" s="17">
        <v>4.7899999999999998E-2</v>
      </c>
      <c r="G47" s="26" t="s">
        <v>189</v>
      </c>
    </row>
    <row r="48" spans="1:7" ht="180" x14ac:dyDescent="0.3">
      <c r="A48" s="27" t="s">
        <v>190</v>
      </c>
      <c r="B48" s="28" t="s">
        <v>188</v>
      </c>
      <c r="C48" s="73">
        <v>1.49</v>
      </c>
      <c r="G48" s="30" t="s">
        <v>191</v>
      </c>
    </row>
    <row r="49" spans="1:7" ht="96" x14ac:dyDescent="0.3">
      <c r="A49" s="7" t="s">
        <v>192</v>
      </c>
      <c r="B49" s="24" t="s">
        <v>188</v>
      </c>
      <c r="C49" s="17">
        <v>4.2500000000000003E-2</v>
      </c>
      <c r="G49" s="26" t="s">
        <v>193</v>
      </c>
    </row>
    <row r="50" spans="1:7" ht="84" x14ac:dyDescent="0.3">
      <c r="A50" s="27" t="s">
        <v>194</v>
      </c>
      <c r="B50" s="28" t="s">
        <v>188</v>
      </c>
      <c r="C50" s="71">
        <v>2.5000000000000001E-2</v>
      </c>
      <c r="G50" s="30" t="s">
        <v>195</v>
      </c>
    </row>
    <row r="51" spans="1:7" ht="48" x14ac:dyDescent="0.3">
      <c r="A51" s="7" t="s">
        <v>196</v>
      </c>
      <c r="B51" s="24" t="s">
        <v>188</v>
      </c>
      <c r="C51" s="5">
        <v>157.85</v>
      </c>
      <c r="G51" s="26" t="s">
        <v>197</v>
      </c>
    </row>
    <row r="52" spans="1:7" ht="96" x14ac:dyDescent="0.3">
      <c r="A52" s="27" t="s">
        <v>198</v>
      </c>
      <c r="B52" s="28" t="s">
        <v>188</v>
      </c>
      <c r="C52" s="29">
        <v>50031000</v>
      </c>
      <c r="G52" s="30" t="s">
        <v>199</v>
      </c>
    </row>
    <row r="53" spans="1:7" ht="48" x14ac:dyDescent="0.3">
      <c r="A53" s="7" t="s">
        <v>200</v>
      </c>
      <c r="B53" s="24" t="s">
        <v>188</v>
      </c>
      <c r="C53" s="5">
        <v>157.85</v>
      </c>
      <c r="G53" s="26" t="s">
        <v>201</v>
      </c>
    </row>
    <row r="54" spans="1:7" ht="24" x14ac:dyDescent="0.3">
      <c r="A54" s="27" t="s">
        <v>202</v>
      </c>
      <c r="B54" s="28" t="s">
        <v>188</v>
      </c>
      <c r="C54" s="29" t="s">
        <v>203</v>
      </c>
      <c r="G54" s="30" t="s">
        <v>204</v>
      </c>
    </row>
    <row r="56" spans="1:7" ht="18" customHeight="1" x14ac:dyDescent="0.3">
      <c r="A56" s="23" t="s">
        <v>205</v>
      </c>
      <c r="B56" s="23" t="s">
        <v>4</v>
      </c>
      <c r="C56" s="23" t="s">
        <v>4</v>
      </c>
      <c r="D56" s="23" t="s">
        <v>4</v>
      </c>
      <c r="G56" s="23" t="s">
        <v>4</v>
      </c>
    </row>
    <row r="57" spans="1:7" x14ac:dyDescent="0.3">
      <c r="A57" s="7" t="s">
        <v>206</v>
      </c>
      <c r="B57" t="s">
        <v>4</v>
      </c>
      <c r="C57" s="4" t="s">
        <v>45</v>
      </c>
      <c r="D57" t="s">
        <v>4</v>
      </c>
      <c r="G57" s="6" t="s">
        <v>207</v>
      </c>
    </row>
    <row r="58" spans="1:7" x14ac:dyDescent="0.3">
      <c r="A58" s="7" t="s">
        <v>208</v>
      </c>
      <c r="B58" t="s">
        <v>4</v>
      </c>
      <c r="C58" s="4" t="s">
        <v>209</v>
      </c>
      <c r="D58" t="s">
        <v>4</v>
      </c>
      <c r="G58" s="6" t="s">
        <v>210</v>
      </c>
    </row>
    <row r="59" spans="1:7" x14ac:dyDescent="0.3">
      <c r="A59" s="7" t="s">
        <v>211</v>
      </c>
      <c r="B59" t="s">
        <v>4</v>
      </c>
      <c r="C59" s="4" t="s">
        <v>212</v>
      </c>
      <c r="D59" t="s">
        <v>4</v>
      </c>
      <c r="G59" s="6" t="s">
        <v>213</v>
      </c>
    </row>
    <row r="60" spans="1:7" x14ac:dyDescent="0.3">
      <c r="A60" s="7" t="s">
        <v>214</v>
      </c>
      <c r="B60" t="s">
        <v>4</v>
      </c>
      <c r="C60" s="12">
        <v>2030</v>
      </c>
      <c r="D60" t="s">
        <v>4</v>
      </c>
      <c r="G60" s="6" t="s">
        <v>215</v>
      </c>
    </row>
    <row r="61" spans="1:7" x14ac:dyDescent="0.3">
      <c r="A61" s="7" t="s">
        <v>216</v>
      </c>
      <c r="B61" t="s">
        <v>4</v>
      </c>
      <c r="C61" s="4" t="s">
        <v>48</v>
      </c>
      <c r="D61" t="s">
        <v>4</v>
      </c>
      <c r="G61" s="6" t="s">
        <v>217</v>
      </c>
    </row>
    <row r="62" spans="1:7" x14ac:dyDescent="0.3">
      <c r="A62" s="7" t="s">
        <v>218</v>
      </c>
      <c r="B62" t="s">
        <v>4</v>
      </c>
      <c r="C62" s="4" t="s">
        <v>219</v>
      </c>
      <c r="D62" t="s">
        <v>4</v>
      </c>
      <c r="G62" s="6" t="s">
        <v>220</v>
      </c>
    </row>
    <row r="63" spans="1:7" x14ac:dyDescent="0.3">
      <c r="A63" s="7" t="s">
        <v>221</v>
      </c>
      <c r="B63" t="s">
        <v>4</v>
      </c>
      <c r="C63" s="4" t="s">
        <v>222</v>
      </c>
      <c r="D63" t="s">
        <v>4</v>
      </c>
      <c r="G63" s="6" t="s">
        <v>223</v>
      </c>
    </row>
    <row r="64" spans="1:7" x14ac:dyDescent="0.3">
      <c r="A64" s="7" t="s">
        <v>224</v>
      </c>
      <c r="B64" t="s">
        <v>4</v>
      </c>
      <c r="C64" s="12">
        <v>2031</v>
      </c>
      <c r="D64" t="s">
        <v>4</v>
      </c>
      <c r="G64" s="6" t="s">
        <v>215</v>
      </c>
    </row>
    <row r="65" spans="1:7" x14ac:dyDescent="0.3">
      <c r="A65" s="7" t="s">
        <v>225</v>
      </c>
      <c r="B65" t="s">
        <v>4</v>
      </c>
      <c r="C65" s="4" t="s">
        <v>226</v>
      </c>
      <c r="D65" t="s">
        <v>4</v>
      </c>
      <c r="G65" s="6" t="s">
        <v>227</v>
      </c>
    </row>
    <row r="67" spans="1:7" ht="18" customHeight="1" x14ac:dyDescent="0.3">
      <c r="A67" s="23" t="s">
        <v>228</v>
      </c>
      <c r="B67" s="23" t="s">
        <v>4</v>
      </c>
      <c r="C67" s="23" t="s">
        <v>4</v>
      </c>
      <c r="D67" s="23" t="s">
        <v>4</v>
      </c>
      <c r="G67" s="23" t="s">
        <v>4</v>
      </c>
    </row>
    <row r="68" spans="1:7" x14ac:dyDescent="0.3">
      <c r="A68" s="4" t="s">
        <v>229</v>
      </c>
      <c r="B68" s="25" t="s">
        <v>230</v>
      </c>
      <c r="C68" s="31" t="s">
        <v>38</v>
      </c>
      <c r="D68" t="s">
        <v>4</v>
      </c>
      <c r="G68" s="6" t="s">
        <v>231</v>
      </c>
    </row>
    <row r="69" spans="1:7" x14ac:dyDescent="0.3">
      <c r="A69" s="4" t="s">
        <v>232</v>
      </c>
      <c r="B69" s="25" t="s">
        <v>233</v>
      </c>
      <c r="C69" s="12">
        <v>1000</v>
      </c>
      <c r="D69" t="s">
        <v>4</v>
      </c>
      <c r="G69" s="6" t="s">
        <v>234</v>
      </c>
    </row>
    <row r="70" spans="1:7" x14ac:dyDescent="0.3">
      <c r="A70" s="4" t="s">
        <v>235</v>
      </c>
      <c r="B70" s="25" t="s">
        <v>236</v>
      </c>
      <c r="C70" s="5">
        <v>0.01</v>
      </c>
      <c r="D70" t="s">
        <v>4</v>
      </c>
      <c r="G70" s="6" t="s">
        <v>237</v>
      </c>
    </row>
    <row r="71" spans="1:7" x14ac:dyDescent="0.3">
      <c r="A71" s="4" t="s">
        <v>238</v>
      </c>
      <c r="B71" s="25" t="s">
        <v>239</v>
      </c>
      <c r="C71" s="18">
        <v>7.4999999999999997E-2</v>
      </c>
      <c r="D71" t="s">
        <v>4</v>
      </c>
      <c r="G71" s="6" t="s">
        <v>240</v>
      </c>
    </row>
    <row r="73" spans="1:7" ht="18" customHeight="1" x14ac:dyDescent="0.3">
      <c r="A73" s="23" t="s">
        <v>241</v>
      </c>
      <c r="B73" s="23" t="s">
        <v>4</v>
      </c>
      <c r="C73" s="23" t="s">
        <v>4</v>
      </c>
      <c r="D73" s="23" t="s">
        <v>4</v>
      </c>
      <c r="G73" s="23" t="s">
        <v>4</v>
      </c>
    </row>
    <row r="74" spans="1:7" x14ac:dyDescent="0.3">
      <c r="A74" s="4" t="s">
        <v>242</v>
      </c>
      <c r="B74" t="s">
        <v>4</v>
      </c>
      <c r="C74" s="22" t="s">
        <v>243</v>
      </c>
      <c r="D74" t="s">
        <v>4</v>
      </c>
      <c r="G74" s="6" t="s">
        <v>244</v>
      </c>
    </row>
    <row r="75" spans="1:7" x14ac:dyDescent="0.3">
      <c r="A75" s="4" t="s">
        <v>245</v>
      </c>
      <c r="B75" t="s">
        <v>4</v>
      </c>
      <c r="C75" s="22" t="s">
        <v>246</v>
      </c>
      <c r="D75" t="s">
        <v>4</v>
      </c>
      <c r="G75" s="6" t="s">
        <v>247</v>
      </c>
    </row>
    <row r="76" spans="1:7" x14ac:dyDescent="0.3">
      <c r="A76" s="4" t="s">
        <v>248</v>
      </c>
      <c r="B76" t="s">
        <v>4</v>
      </c>
      <c r="C76" s="22" t="s">
        <v>249</v>
      </c>
      <c r="D76" t="s">
        <v>4</v>
      </c>
      <c r="G76" s="6" t="s">
        <v>250</v>
      </c>
    </row>
    <row r="77" spans="1:7" x14ac:dyDescent="0.3">
      <c r="A77" s="4" t="s">
        <v>251</v>
      </c>
      <c r="B77" t="s">
        <v>4</v>
      </c>
      <c r="C77" s="22" t="s">
        <v>252</v>
      </c>
      <c r="D77" t="s">
        <v>4</v>
      </c>
      <c r="G77" s="6" t="s">
        <v>253</v>
      </c>
    </row>
    <row r="78" spans="1:7" x14ac:dyDescent="0.3">
      <c r="A78" s="4" t="s">
        <v>254</v>
      </c>
      <c r="B78" t="s">
        <v>4</v>
      </c>
      <c r="C78" s="22" t="s">
        <v>255</v>
      </c>
      <c r="D78" t="s">
        <v>4</v>
      </c>
      <c r="G78" s="6" t="s">
        <v>256</v>
      </c>
    </row>
  </sheetData>
  <sheetProtection sheet="1"/>
  <mergeCells count="2">
    <mergeCell ref="A1:L1"/>
    <mergeCell ref="A2:L2"/>
  </mergeCells>
  <dataValidations count="1">
    <dataValidation type="list" showInputMessage="1" showErrorMessage="1" sqref="C68" xr:uid="{00000000-0002-0000-0100-000000000000}">
      <formula1>"bear,base,bull"</formula1>
    </dataValidation>
  </dataValidations>
  <pageMargins left="0.7" right="0.7" top="0.75" bottom="0.75" header="0.3" footer="0.3"/>
  <pageSetup fitToHeight="0" orientation="landscape"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75569"/>
    <pageSetUpPr fitToPage="1"/>
  </sheetPr>
  <dimension ref="A1:L88"/>
  <sheetViews>
    <sheetView workbookViewId="0">
      <pane xSplit="1" ySplit="4" topLeftCell="B5" activePane="bottomRight" state="frozen"/>
      <selection pane="topRight"/>
      <selection pane="bottomLeft"/>
      <selection pane="bottomRight"/>
    </sheetView>
  </sheetViews>
  <sheetFormatPr defaultRowHeight="14.4" x14ac:dyDescent="0.3"/>
  <cols>
    <col min="1" max="1" width="72" customWidth="1"/>
    <col min="2" max="7" width="14" customWidth="1"/>
    <col min="8" max="8" width="44" customWidth="1"/>
    <col min="9" max="11" width="14" customWidth="1"/>
    <col min="12" max="12" width="36" customWidth="1"/>
  </cols>
  <sheetData>
    <row r="1" spans="1:12" ht="22.05" customHeight="1" x14ac:dyDescent="0.4">
      <c r="A1" s="78" t="s">
        <v>257</v>
      </c>
      <c r="B1" s="78"/>
      <c r="C1" s="78"/>
      <c r="D1" s="78"/>
      <c r="E1" s="78"/>
      <c r="F1" s="78"/>
      <c r="G1" s="78"/>
      <c r="H1" s="78"/>
      <c r="I1" s="78"/>
      <c r="J1" s="78"/>
      <c r="K1" s="78"/>
      <c r="L1" s="78"/>
    </row>
    <row r="2" spans="1:12" ht="16.05" customHeight="1" x14ac:dyDescent="0.3">
      <c r="A2" s="79" t="s">
        <v>258</v>
      </c>
      <c r="B2" s="79"/>
      <c r="C2" s="79"/>
      <c r="D2" s="79"/>
      <c r="E2" s="79"/>
      <c r="F2" s="79"/>
      <c r="G2" s="79"/>
      <c r="H2" s="79"/>
      <c r="I2" s="79"/>
      <c r="J2" s="79"/>
      <c r="K2" s="79"/>
      <c r="L2" s="79"/>
    </row>
    <row r="3" spans="1:12" x14ac:dyDescent="0.3">
      <c r="A3" s="1" t="s">
        <v>259</v>
      </c>
    </row>
    <row r="4" spans="1:12" ht="19.95" customHeight="1" x14ac:dyDescent="0.3">
      <c r="A4" s="2" t="s">
        <v>260</v>
      </c>
      <c r="B4" s="3" t="s">
        <v>261</v>
      </c>
      <c r="C4" s="3" t="s">
        <v>262</v>
      </c>
      <c r="D4" s="3" t="s">
        <v>263</v>
      </c>
      <c r="E4" s="3" t="s">
        <v>264</v>
      </c>
      <c r="F4" s="3" t="s">
        <v>265</v>
      </c>
      <c r="G4" s="3" t="s">
        <v>266</v>
      </c>
      <c r="H4" s="3" t="s">
        <v>267</v>
      </c>
      <c r="I4" s="3" t="s">
        <v>268</v>
      </c>
      <c r="J4" s="3" t="s">
        <v>269</v>
      </c>
      <c r="K4" s="3" t="s">
        <v>270</v>
      </c>
      <c r="L4" s="3" t="s">
        <v>271</v>
      </c>
    </row>
    <row r="5" spans="1:12" ht="18" customHeight="1" x14ac:dyDescent="0.3">
      <c r="A5" s="23" t="s">
        <v>272</v>
      </c>
      <c r="B5" s="23" t="s">
        <v>4</v>
      </c>
      <c r="C5" s="23" t="s">
        <v>4</v>
      </c>
      <c r="D5" s="23" t="s">
        <v>4</v>
      </c>
      <c r="E5" s="23" t="s">
        <v>4</v>
      </c>
      <c r="F5" s="23" t="s">
        <v>4</v>
      </c>
      <c r="G5" s="23" t="s">
        <v>4</v>
      </c>
      <c r="H5" s="23" t="s">
        <v>4</v>
      </c>
      <c r="I5" s="23" t="s">
        <v>4</v>
      </c>
      <c r="J5" s="23" t="s">
        <v>4</v>
      </c>
      <c r="K5" s="23" t="s">
        <v>4</v>
      </c>
      <c r="L5" s="23" t="s">
        <v>4</v>
      </c>
    </row>
    <row r="6" spans="1:12" x14ac:dyDescent="0.3">
      <c r="A6" s="7" t="s">
        <v>273</v>
      </c>
      <c r="B6" s="11">
        <v>180698</v>
      </c>
      <c r="C6" s="11">
        <v>273507</v>
      </c>
      <c r="D6" s="11">
        <v>404684</v>
      </c>
      <c r="E6" s="11">
        <v>607531</v>
      </c>
      <c r="F6" s="11">
        <v>873442</v>
      </c>
      <c r="G6" s="11">
        <v>631156</v>
      </c>
      <c r="H6" s="32" t="s">
        <v>274</v>
      </c>
      <c r="I6" s="11">
        <v>229491</v>
      </c>
      <c r="J6" s="11">
        <v>250908</v>
      </c>
      <c r="K6" s="11">
        <v>258035</v>
      </c>
      <c r="L6" s="33" t="s">
        <v>275</v>
      </c>
    </row>
    <row r="7" spans="1:12" x14ac:dyDescent="0.3">
      <c r="A7" s="7" t="s">
        <v>276</v>
      </c>
      <c r="B7" s="11">
        <v>38501</v>
      </c>
      <c r="C7" s="11">
        <v>44731</v>
      </c>
      <c r="D7" s="11">
        <v>49858</v>
      </c>
      <c r="E7" s="11">
        <v>54907</v>
      </c>
      <c r="F7" s="11">
        <v>79725</v>
      </c>
      <c r="G7" s="11">
        <v>59504</v>
      </c>
      <c r="H7" s="32" t="s">
        <v>274</v>
      </c>
      <c r="I7" s="11">
        <v>21019</v>
      </c>
      <c r="J7" s="11">
        <v>20614</v>
      </c>
      <c r="K7" s="11">
        <v>21052</v>
      </c>
      <c r="L7" s="33" t="s">
        <v>275</v>
      </c>
    </row>
    <row r="8" spans="1:12" x14ac:dyDescent="0.3">
      <c r="A8" s="7" t="s">
        <v>277</v>
      </c>
      <c r="B8" s="11">
        <v>24658</v>
      </c>
      <c r="C8" s="11">
        <v>32718</v>
      </c>
      <c r="D8" s="11">
        <v>41212</v>
      </c>
      <c r="E8" s="11">
        <v>45640</v>
      </c>
      <c r="F8" s="11">
        <v>42006</v>
      </c>
      <c r="G8" s="11">
        <v>31723</v>
      </c>
      <c r="H8" s="32" t="s">
        <v>274</v>
      </c>
      <c r="I8" s="11">
        <v>9649</v>
      </c>
      <c r="J8" s="11">
        <v>11317</v>
      </c>
      <c r="K8" s="11">
        <v>10109</v>
      </c>
      <c r="L8" s="33" t="s">
        <v>275</v>
      </c>
    </row>
    <row r="9" spans="1:12" x14ac:dyDescent="0.3">
      <c r="A9" s="7" t="s">
        <v>278</v>
      </c>
      <c r="B9" s="11">
        <v>6836</v>
      </c>
      <c r="C9" s="11">
        <v>17914</v>
      </c>
      <c r="D9" s="11">
        <v>34673</v>
      </c>
      <c r="E9" s="11">
        <v>38653</v>
      </c>
      <c r="F9" s="11">
        <v>40479</v>
      </c>
      <c r="G9" s="11">
        <v>30928</v>
      </c>
      <c r="H9" s="32" t="s">
        <v>274</v>
      </c>
      <c r="I9" s="11">
        <v>11096</v>
      </c>
      <c r="J9" s="11">
        <v>8446</v>
      </c>
      <c r="K9" s="11">
        <v>8002</v>
      </c>
      <c r="L9" s="33" t="s">
        <v>275</v>
      </c>
    </row>
    <row r="10" spans="1:12" x14ac:dyDescent="0.3">
      <c r="A10" s="7" t="s">
        <v>279</v>
      </c>
      <c r="B10" s="11">
        <v>79</v>
      </c>
      <c r="C10" s="11">
        <v>625</v>
      </c>
      <c r="D10" s="11">
        <v>682</v>
      </c>
      <c r="E10" s="11">
        <v>1293</v>
      </c>
      <c r="F10" s="11">
        <v>1937</v>
      </c>
      <c r="G10" s="11">
        <v>1410</v>
      </c>
      <c r="H10" s="32" t="s">
        <v>274</v>
      </c>
      <c r="I10" s="11">
        <v>458</v>
      </c>
      <c r="J10" s="11">
        <v>682</v>
      </c>
      <c r="K10" s="11">
        <v>1256</v>
      </c>
      <c r="L10" s="33" t="s">
        <v>275</v>
      </c>
    </row>
    <row r="11" spans="1:12" x14ac:dyDescent="0.3">
      <c r="A11" s="7" t="s">
        <v>280</v>
      </c>
      <c r="B11" s="11">
        <v>250772</v>
      </c>
      <c r="C11" s="11">
        <v>369495</v>
      </c>
      <c r="D11" s="11">
        <v>531109</v>
      </c>
      <c r="E11" s="11">
        <v>748024</v>
      </c>
      <c r="F11" s="11">
        <v>1037589</v>
      </c>
      <c r="G11" s="11">
        <v>754721</v>
      </c>
      <c r="H11" s="32" t="s">
        <v>274</v>
      </c>
      <c r="I11" s="11">
        <v>271713</v>
      </c>
      <c r="J11" s="11">
        <v>291967</v>
      </c>
      <c r="K11" s="11">
        <v>298454</v>
      </c>
      <c r="L11" s="33" t="s">
        <v>275</v>
      </c>
    </row>
    <row r="12" spans="1:12" x14ac:dyDescent="0.3">
      <c r="A12" s="7" t="s">
        <v>281</v>
      </c>
      <c r="B12" s="11">
        <v>69186</v>
      </c>
      <c r="C12" s="11">
        <v>99431</v>
      </c>
      <c r="D12" s="11">
        <v>142105</v>
      </c>
      <c r="E12" s="11">
        <v>203645</v>
      </c>
      <c r="F12" s="11">
        <v>288132</v>
      </c>
      <c r="G12" s="11">
        <v>211133</v>
      </c>
      <c r="H12" s="32" t="s">
        <v>274</v>
      </c>
      <c r="I12" s="11">
        <v>74802</v>
      </c>
      <c r="J12" s="11">
        <v>78871</v>
      </c>
      <c r="K12" s="11">
        <v>81714</v>
      </c>
      <c r="L12" s="33" t="s">
        <v>275</v>
      </c>
    </row>
    <row r="13" spans="1:12" x14ac:dyDescent="0.3">
      <c r="A13" s="7" t="s">
        <v>282</v>
      </c>
      <c r="B13" s="11">
        <v>181586</v>
      </c>
      <c r="C13" s="11">
        <v>270064</v>
      </c>
      <c r="D13" s="11">
        <v>389004</v>
      </c>
      <c r="E13" s="11">
        <v>544379</v>
      </c>
      <c r="F13" s="11">
        <v>749457</v>
      </c>
      <c r="G13" s="11">
        <v>543588</v>
      </c>
      <c r="H13" s="32" t="s">
        <v>274</v>
      </c>
      <c r="I13" s="11">
        <v>196911</v>
      </c>
      <c r="J13" s="11">
        <v>213096</v>
      </c>
      <c r="K13" s="11">
        <v>216740</v>
      </c>
      <c r="L13" s="33" t="s">
        <v>275</v>
      </c>
    </row>
    <row r="14" spans="1:12" x14ac:dyDescent="0.3">
      <c r="A14" s="7" t="s">
        <v>283</v>
      </c>
      <c r="B14" s="11">
        <v>103833</v>
      </c>
      <c r="C14" s="11">
        <v>150444</v>
      </c>
      <c r="D14" s="11">
        <v>194352</v>
      </c>
      <c r="E14" s="11">
        <v>235298</v>
      </c>
      <c r="F14" s="11">
        <v>306323</v>
      </c>
      <c r="G14" s="11">
        <v>226767</v>
      </c>
      <c r="H14" s="32" t="s">
        <v>274</v>
      </c>
      <c r="I14" s="11">
        <v>82707</v>
      </c>
      <c r="J14" s="11">
        <v>82974</v>
      </c>
      <c r="K14" s="11">
        <v>92195</v>
      </c>
      <c r="L14" s="33" t="s">
        <v>275</v>
      </c>
    </row>
    <row r="15" spans="1:12" x14ac:dyDescent="0.3">
      <c r="A15" s="7" t="s">
        <v>284</v>
      </c>
      <c r="B15" s="11">
        <v>59170</v>
      </c>
      <c r="C15" s="11">
        <v>66967</v>
      </c>
      <c r="D15" s="11">
        <v>75788</v>
      </c>
      <c r="E15" s="11">
        <v>90494</v>
      </c>
      <c r="F15" s="11">
        <v>125677</v>
      </c>
      <c r="G15" s="11">
        <v>91306</v>
      </c>
      <c r="H15" s="32" t="s">
        <v>274</v>
      </c>
      <c r="I15" s="11">
        <v>35081</v>
      </c>
      <c r="J15" s="11">
        <v>39249</v>
      </c>
      <c r="K15" s="11">
        <v>40007</v>
      </c>
      <c r="L15" s="33" t="s">
        <v>275</v>
      </c>
    </row>
    <row r="16" spans="1:12" x14ac:dyDescent="0.3">
      <c r="A16" s="7" t="s">
        <v>285</v>
      </c>
      <c r="B16" s="11">
        <v>78590</v>
      </c>
      <c r="C16" s="11">
        <v>117848</v>
      </c>
      <c r="D16" s="11">
        <v>132123</v>
      </c>
      <c r="E16" s="11">
        <v>155992</v>
      </c>
      <c r="F16" s="11">
        <v>181887</v>
      </c>
      <c r="G16" s="11">
        <v>133399</v>
      </c>
      <c r="H16" s="32" t="s">
        <v>274</v>
      </c>
      <c r="I16" s="11">
        <v>43964</v>
      </c>
      <c r="J16" s="11">
        <v>46346</v>
      </c>
      <c r="K16" s="11">
        <v>50593</v>
      </c>
      <c r="L16" s="33" t="s">
        <v>275</v>
      </c>
    </row>
    <row r="17" spans="1:12" x14ac:dyDescent="0.3">
      <c r="A17" s="7" t="s">
        <v>286</v>
      </c>
      <c r="B17" s="11">
        <v>241593</v>
      </c>
      <c r="C17" s="11">
        <v>335259</v>
      </c>
      <c r="D17" s="11">
        <v>402263</v>
      </c>
      <c r="E17" s="11">
        <v>481784</v>
      </c>
      <c r="F17" s="11">
        <v>613887</v>
      </c>
      <c r="G17" s="11">
        <v>451472</v>
      </c>
      <c r="H17" s="32" t="s">
        <v>274</v>
      </c>
      <c r="I17" s="11">
        <v>161752</v>
      </c>
      <c r="J17" s="11">
        <v>168569</v>
      </c>
      <c r="K17" s="11">
        <v>182795</v>
      </c>
      <c r="L17" s="33" t="s">
        <v>275</v>
      </c>
    </row>
    <row r="18" spans="1:12" x14ac:dyDescent="0.3">
      <c r="A18" s="7" t="s">
        <v>287</v>
      </c>
      <c r="B18" s="11">
        <v>-60007</v>
      </c>
      <c r="C18" s="11">
        <v>-65195</v>
      </c>
      <c r="D18" s="11">
        <v>-13259</v>
      </c>
      <c r="E18" s="11">
        <v>62595</v>
      </c>
      <c r="F18" s="11">
        <v>135570</v>
      </c>
      <c r="G18" s="11">
        <v>92116</v>
      </c>
      <c r="H18" s="32" t="s">
        <v>274</v>
      </c>
      <c r="I18" s="11">
        <v>35159</v>
      </c>
      <c r="J18" s="11">
        <v>44527</v>
      </c>
      <c r="K18" s="11">
        <v>33945</v>
      </c>
      <c r="L18" s="33" t="s">
        <v>275</v>
      </c>
    </row>
    <row r="19" spans="1:12" x14ac:dyDescent="0.3">
      <c r="A19" s="7" t="s">
        <v>288</v>
      </c>
      <c r="B19" s="11">
        <v>318</v>
      </c>
      <c r="C19" s="11">
        <v>131</v>
      </c>
      <c r="D19" s="11">
        <v>590</v>
      </c>
      <c r="E19" s="11">
        <v>1267</v>
      </c>
      <c r="F19" s="11">
        <v>3382</v>
      </c>
      <c r="G19" s="32" t="s">
        <v>274</v>
      </c>
      <c r="H19" s="32" t="s">
        <v>274</v>
      </c>
      <c r="I19" s="32" t="s">
        <v>274</v>
      </c>
      <c r="J19" s="32" t="s">
        <v>274</v>
      </c>
      <c r="K19" s="32" t="s">
        <v>274</v>
      </c>
      <c r="L19" s="33" t="s">
        <v>275</v>
      </c>
    </row>
    <row r="20" spans="1:12" x14ac:dyDescent="0.3">
      <c r="A20" s="7" t="s">
        <v>289</v>
      </c>
      <c r="B20" s="11">
        <v>-288</v>
      </c>
      <c r="C20" s="11">
        <v>-807</v>
      </c>
      <c r="D20" s="11">
        <v>-645</v>
      </c>
      <c r="E20" s="11">
        <v>-4253</v>
      </c>
      <c r="F20" s="11">
        <v>-1773</v>
      </c>
      <c r="G20" s="32" t="s">
        <v>274</v>
      </c>
      <c r="H20" s="32" t="s">
        <v>274</v>
      </c>
      <c r="I20" s="32" t="s">
        <v>274</v>
      </c>
      <c r="J20" s="32" t="s">
        <v>274</v>
      </c>
      <c r="K20" s="32" t="s">
        <v>274</v>
      </c>
      <c r="L20" s="33" t="s">
        <v>275</v>
      </c>
    </row>
    <row r="21" spans="1:12" x14ac:dyDescent="0.3">
      <c r="A21" s="7" t="s">
        <v>290</v>
      </c>
      <c r="B21" s="11">
        <v>30</v>
      </c>
      <c r="C21" s="11">
        <v>-676</v>
      </c>
      <c r="D21" s="11">
        <v>-55</v>
      </c>
      <c r="E21" s="11">
        <v>-2986</v>
      </c>
      <c r="F21" s="11">
        <v>1609</v>
      </c>
      <c r="G21" s="11">
        <v>2158</v>
      </c>
      <c r="H21" s="32" t="s">
        <v>274</v>
      </c>
      <c r="I21" s="11">
        <v>-503</v>
      </c>
      <c r="J21" s="11">
        <v>-786</v>
      </c>
      <c r="K21" s="11">
        <v>-410</v>
      </c>
      <c r="L21" s="33" t="s">
        <v>275</v>
      </c>
    </row>
    <row r="22" spans="1:12" x14ac:dyDescent="0.3">
      <c r="A22" s="7" t="s">
        <v>291</v>
      </c>
      <c r="B22" s="11">
        <v>19</v>
      </c>
      <c r="C22" s="11">
        <v>7235</v>
      </c>
      <c r="D22" s="11">
        <v>31091</v>
      </c>
      <c r="E22" s="11">
        <v>42697</v>
      </c>
      <c r="F22" s="11">
        <v>45231</v>
      </c>
      <c r="G22" s="11">
        <v>33635</v>
      </c>
      <c r="H22" s="32" t="s">
        <v>274</v>
      </c>
      <c r="I22" s="11">
        <v>11793</v>
      </c>
      <c r="J22" s="11">
        <v>11811</v>
      </c>
      <c r="K22" s="11">
        <v>11831</v>
      </c>
      <c r="L22" s="33" t="s">
        <v>275</v>
      </c>
    </row>
    <row r="23" spans="1:12" x14ac:dyDescent="0.3">
      <c r="A23" s="7" t="s">
        <v>292</v>
      </c>
      <c r="B23" s="11">
        <v>-59958</v>
      </c>
      <c r="C23" s="11">
        <v>-58636</v>
      </c>
      <c r="D23" s="11">
        <v>17777</v>
      </c>
      <c r="E23" s="11">
        <v>102306</v>
      </c>
      <c r="F23" s="11">
        <v>182410</v>
      </c>
      <c r="G23" s="11">
        <v>127909</v>
      </c>
      <c r="H23" s="36">
        <f>J23+K23</f>
        <v>100918</v>
      </c>
      <c r="I23" s="11">
        <v>46449</v>
      </c>
      <c r="J23" s="11">
        <v>55552</v>
      </c>
      <c r="K23" s="11">
        <v>45366</v>
      </c>
      <c r="L23" s="33" t="s">
        <v>275</v>
      </c>
    </row>
    <row r="24" spans="1:12" x14ac:dyDescent="0.3">
      <c r="A24" s="7" t="s">
        <v>293</v>
      </c>
      <c r="B24" s="11">
        <v>177</v>
      </c>
      <c r="C24" s="11">
        <v>938</v>
      </c>
      <c r="D24" s="11">
        <v>1710</v>
      </c>
      <c r="E24" s="11">
        <v>13732</v>
      </c>
      <c r="F24" s="11">
        <v>-231655</v>
      </c>
      <c r="G24" s="11">
        <v>-244202</v>
      </c>
      <c r="H24" s="32" t="s">
        <v>274</v>
      </c>
      <c r="I24" s="11">
        <v>-245746</v>
      </c>
      <c r="J24" s="11">
        <v>12092</v>
      </c>
      <c r="K24" s="11">
        <v>12208</v>
      </c>
      <c r="L24" s="33" t="s">
        <v>275</v>
      </c>
    </row>
    <row r="25" spans="1:12" x14ac:dyDescent="0.3">
      <c r="A25" s="7" t="s">
        <v>294</v>
      </c>
      <c r="B25" s="11">
        <v>-60135</v>
      </c>
      <c r="C25" s="11">
        <v>-59574</v>
      </c>
      <c r="D25" s="11">
        <v>16067</v>
      </c>
      <c r="E25" s="11">
        <v>88574</v>
      </c>
      <c r="F25" s="11">
        <v>414065</v>
      </c>
      <c r="G25" s="11">
        <v>372111</v>
      </c>
      <c r="H25" s="32" t="s">
        <v>274</v>
      </c>
      <c r="I25" s="11">
        <v>292195</v>
      </c>
      <c r="J25" s="11">
        <v>43460</v>
      </c>
      <c r="K25" s="11">
        <v>33158</v>
      </c>
      <c r="L25" s="33" t="s">
        <v>275</v>
      </c>
    </row>
    <row r="26" spans="1:12" x14ac:dyDescent="0.3">
      <c r="A26" s="7" t="s">
        <v>295</v>
      </c>
      <c r="B26" s="11">
        <v>693</v>
      </c>
      <c r="C26" s="11">
        <v>1752</v>
      </c>
      <c r="D26" s="11">
        <v>2995</v>
      </c>
      <c r="E26" s="11">
        <v>5889</v>
      </c>
      <c r="F26" s="11">
        <v>9196</v>
      </c>
      <c r="G26" s="32" t="s">
        <v>274</v>
      </c>
      <c r="H26" s="11">
        <v>5720</v>
      </c>
      <c r="I26" s="32" t="s">
        <v>274</v>
      </c>
      <c r="J26" s="32" t="s">
        <v>274</v>
      </c>
      <c r="K26" s="11">
        <v>2885</v>
      </c>
      <c r="L26" s="33" t="s">
        <v>275</v>
      </c>
    </row>
    <row r="28" spans="1:12" ht="18" customHeight="1" x14ac:dyDescent="0.3">
      <c r="A28" s="23" t="s">
        <v>296</v>
      </c>
      <c r="B28" s="23" t="s">
        <v>4</v>
      </c>
      <c r="C28" s="23" t="s">
        <v>4</v>
      </c>
      <c r="D28" s="23" t="s">
        <v>4</v>
      </c>
      <c r="E28" s="23" t="s">
        <v>4</v>
      </c>
      <c r="F28" s="23" t="s">
        <v>4</v>
      </c>
      <c r="G28" s="23" t="s">
        <v>4</v>
      </c>
      <c r="H28" s="23" t="s">
        <v>4</v>
      </c>
      <c r="I28" s="23" t="s">
        <v>4</v>
      </c>
      <c r="J28" s="23" t="s">
        <v>4</v>
      </c>
      <c r="K28" s="23" t="s">
        <v>4</v>
      </c>
      <c r="L28" s="23" t="s">
        <v>4</v>
      </c>
    </row>
    <row r="29" spans="1:12" x14ac:dyDescent="0.3">
      <c r="A29" s="7" t="s">
        <v>297</v>
      </c>
      <c r="B29" s="11">
        <v>553922</v>
      </c>
      <c r="C29" s="11">
        <v>608180</v>
      </c>
      <c r="D29" s="11">
        <v>747610</v>
      </c>
      <c r="E29" s="11">
        <v>785791</v>
      </c>
      <c r="F29" s="11">
        <v>1036389</v>
      </c>
      <c r="G29" s="32" t="s">
        <v>274</v>
      </c>
      <c r="H29" s="32" t="s">
        <v>274</v>
      </c>
      <c r="I29" s="32" t="s">
        <v>274</v>
      </c>
      <c r="J29" s="32" t="s">
        <v>274</v>
      </c>
      <c r="K29" s="11">
        <v>1180887</v>
      </c>
      <c r="L29" s="33" t="s">
        <v>275</v>
      </c>
    </row>
    <row r="30" spans="1:12" x14ac:dyDescent="0.3">
      <c r="A30" s="7" t="s">
        <v>298</v>
      </c>
      <c r="B30" s="11">
        <v>33163</v>
      </c>
      <c r="C30" s="11">
        <v>46728</v>
      </c>
      <c r="D30" s="11">
        <v>88975</v>
      </c>
      <c r="E30" s="11">
        <v>128923</v>
      </c>
      <c r="F30" s="11">
        <v>162827</v>
      </c>
      <c r="G30" s="32" t="s">
        <v>274</v>
      </c>
      <c r="H30" s="32" t="s">
        <v>274</v>
      </c>
      <c r="I30" s="32" t="s">
        <v>274</v>
      </c>
      <c r="J30" s="32" t="s">
        <v>274</v>
      </c>
      <c r="K30" s="11">
        <v>130979</v>
      </c>
      <c r="L30" s="33" t="s">
        <v>275</v>
      </c>
    </row>
    <row r="31" spans="1:12" x14ac:dyDescent="0.3">
      <c r="A31" s="7" t="s">
        <v>299</v>
      </c>
      <c r="B31" s="11">
        <v>24219</v>
      </c>
      <c r="C31" s="11">
        <v>35041</v>
      </c>
      <c r="D31" s="11">
        <v>53931</v>
      </c>
      <c r="E31" s="11">
        <v>80162</v>
      </c>
      <c r="F31" s="11">
        <v>102663</v>
      </c>
      <c r="G31" s="32" t="s">
        <v>274</v>
      </c>
      <c r="H31" s="32" t="s">
        <v>274</v>
      </c>
      <c r="I31" s="32" t="s">
        <v>274</v>
      </c>
      <c r="J31" s="32" t="s">
        <v>274</v>
      </c>
      <c r="K31" s="11">
        <v>102689</v>
      </c>
      <c r="L31" s="33" t="s">
        <v>275</v>
      </c>
    </row>
    <row r="32" spans="1:12" x14ac:dyDescent="0.3">
      <c r="A32" s="7" t="s">
        <v>300</v>
      </c>
      <c r="B32" s="11">
        <v>7967</v>
      </c>
      <c r="C32" s="11">
        <v>7234</v>
      </c>
      <c r="D32" s="11">
        <v>7282</v>
      </c>
      <c r="E32" s="11">
        <v>14831</v>
      </c>
      <c r="F32" s="11">
        <v>16582</v>
      </c>
      <c r="G32" s="32" t="s">
        <v>274</v>
      </c>
      <c r="H32" s="32" t="s">
        <v>274</v>
      </c>
      <c r="I32" s="32" t="s">
        <v>274</v>
      </c>
      <c r="J32" s="32" t="s">
        <v>274</v>
      </c>
      <c r="K32" s="11">
        <v>20873</v>
      </c>
      <c r="L32" s="33" t="s">
        <v>275</v>
      </c>
    </row>
    <row r="33" spans="1:12" x14ac:dyDescent="0.3">
      <c r="A33" s="7" t="s">
        <v>301</v>
      </c>
      <c r="B33" s="11">
        <v>619271</v>
      </c>
      <c r="C33" s="11">
        <v>697183</v>
      </c>
      <c r="D33" s="11">
        <v>897798</v>
      </c>
      <c r="E33" s="11">
        <v>1101588</v>
      </c>
      <c r="F33" s="11">
        <v>1436606</v>
      </c>
      <c r="G33" s="32" t="s">
        <v>274</v>
      </c>
      <c r="H33" s="32" t="s">
        <v>274</v>
      </c>
      <c r="I33" s="32" t="s">
        <v>274</v>
      </c>
      <c r="J33" s="32" t="s">
        <v>274</v>
      </c>
      <c r="K33" s="11">
        <v>1571114</v>
      </c>
      <c r="L33" s="33" t="s">
        <v>275</v>
      </c>
    </row>
    <row r="34" spans="1:12" x14ac:dyDescent="0.3">
      <c r="A34" s="7" t="s">
        <v>302</v>
      </c>
      <c r="B34" s="11">
        <v>28369</v>
      </c>
      <c r="C34" s="11">
        <v>22508</v>
      </c>
      <c r="D34" s="11">
        <v>19103</v>
      </c>
      <c r="E34" s="11">
        <v>47495</v>
      </c>
      <c r="F34" s="11">
        <v>80380</v>
      </c>
      <c r="G34" s="32" t="s">
        <v>274</v>
      </c>
      <c r="H34" s="32" t="s">
        <v>274</v>
      </c>
      <c r="I34" s="32" t="s">
        <v>274</v>
      </c>
      <c r="J34" s="32" t="s">
        <v>274</v>
      </c>
      <c r="K34" s="11">
        <v>74830</v>
      </c>
      <c r="L34" s="33" t="s">
        <v>275</v>
      </c>
    </row>
    <row r="35" spans="1:12" x14ac:dyDescent="0.3">
      <c r="A35" s="7" t="s">
        <v>303</v>
      </c>
      <c r="B35" s="11">
        <v>8211</v>
      </c>
      <c r="C35" s="11">
        <v>12969</v>
      </c>
      <c r="D35" s="11">
        <v>11792</v>
      </c>
      <c r="E35" s="11">
        <v>18943</v>
      </c>
      <c r="F35" s="11">
        <v>36297</v>
      </c>
      <c r="G35" s="32" t="s">
        <v>274</v>
      </c>
      <c r="H35" s="32" t="s">
        <v>274</v>
      </c>
      <c r="I35" s="32" t="s">
        <v>274</v>
      </c>
      <c r="J35" s="32" t="s">
        <v>274</v>
      </c>
      <c r="K35" s="11">
        <v>42619</v>
      </c>
      <c r="L35" s="33" t="s">
        <v>275</v>
      </c>
    </row>
    <row r="36" spans="1:12" x14ac:dyDescent="0.3">
      <c r="A36" s="7" t="s">
        <v>304</v>
      </c>
      <c r="B36" s="32" t="s">
        <v>274</v>
      </c>
      <c r="C36" s="11">
        <v>8497</v>
      </c>
      <c r="D36" s="11">
        <v>15995</v>
      </c>
      <c r="E36" s="11">
        <v>19899</v>
      </c>
      <c r="F36" s="11">
        <v>28309</v>
      </c>
      <c r="G36" s="32" t="s">
        <v>274</v>
      </c>
      <c r="H36" s="32" t="s">
        <v>274</v>
      </c>
      <c r="I36" s="32" t="s">
        <v>274</v>
      </c>
      <c r="J36" s="32" t="s">
        <v>274</v>
      </c>
      <c r="K36" s="11">
        <v>27598</v>
      </c>
      <c r="L36" s="33" t="s">
        <v>275</v>
      </c>
    </row>
    <row r="37" spans="1:12" x14ac:dyDescent="0.3">
      <c r="A37" s="7" t="s">
        <v>305</v>
      </c>
      <c r="B37" s="32" t="s">
        <v>274</v>
      </c>
      <c r="C37" s="11">
        <v>4050</v>
      </c>
      <c r="D37" s="11">
        <v>4050</v>
      </c>
      <c r="E37" s="11">
        <v>10538</v>
      </c>
      <c r="F37" s="11">
        <v>35335</v>
      </c>
      <c r="G37" s="32" t="s">
        <v>274</v>
      </c>
      <c r="H37" s="32" t="s">
        <v>274</v>
      </c>
      <c r="I37" s="32" t="s">
        <v>274</v>
      </c>
      <c r="J37" s="32" t="s">
        <v>274</v>
      </c>
      <c r="K37" s="11">
        <v>35335</v>
      </c>
      <c r="L37" s="33" t="s">
        <v>275</v>
      </c>
    </row>
    <row r="38" spans="1:12" x14ac:dyDescent="0.3">
      <c r="A38" s="7" t="s">
        <v>306</v>
      </c>
      <c r="B38" s="32" t="s">
        <v>274</v>
      </c>
      <c r="C38" s="32" t="s">
        <v>274</v>
      </c>
      <c r="D38" s="32" t="s">
        <v>274</v>
      </c>
      <c r="E38" s="11">
        <v>91854</v>
      </c>
      <c r="F38" s="11">
        <v>104078</v>
      </c>
      <c r="G38" s="32" t="s">
        <v>274</v>
      </c>
      <c r="H38" s="32" t="s">
        <v>274</v>
      </c>
      <c r="I38" s="32" t="s">
        <v>274</v>
      </c>
      <c r="J38" s="32" t="s">
        <v>274</v>
      </c>
      <c r="K38" s="11">
        <v>132979</v>
      </c>
      <c r="L38" s="33" t="s">
        <v>275</v>
      </c>
    </row>
    <row r="39" spans="1:12" x14ac:dyDescent="0.3">
      <c r="A39" s="7" t="s">
        <v>307</v>
      </c>
      <c r="B39" s="32" t="s">
        <v>274</v>
      </c>
      <c r="C39" s="32" t="s">
        <v>274</v>
      </c>
      <c r="D39" s="32" t="s">
        <v>274</v>
      </c>
      <c r="E39" s="11">
        <v>98292</v>
      </c>
      <c r="F39" s="11">
        <v>135098</v>
      </c>
      <c r="G39" s="32" t="s">
        <v>274</v>
      </c>
      <c r="H39" s="32" t="s">
        <v>274</v>
      </c>
      <c r="I39" s="32" t="s">
        <v>274</v>
      </c>
      <c r="J39" s="32" t="s">
        <v>274</v>
      </c>
      <c r="K39" s="11">
        <v>102693</v>
      </c>
      <c r="L39" s="33" t="s">
        <v>275</v>
      </c>
    </row>
    <row r="40" spans="1:12" x14ac:dyDescent="0.3">
      <c r="A40" s="7" t="s">
        <v>308</v>
      </c>
      <c r="B40" s="32" t="s">
        <v>274</v>
      </c>
      <c r="C40" s="32" t="s">
        <v>274</v>
      </c>
      <c r="D40" s="32" t="s">
        <v>274</v>
      </c>
      <c r="E40" s="32" t="s">
        <v>274</v>
      </c>
      <c r="F40" s="32" t="s">
        <v>274</v>
      </c>
      <c r="G40" s="32" t="s">
        <v>274</v>
      </c>
      <c r="H40" s="32" t="s">
        <v>274</v>
      </c>
      <c r="I40" s="32" t="s">
        <v>274</v>
      </c>
      <c r="J40" s="32" t="s">
        <v>274</v>
      </c>
      <c r="K40" s="32" t="s">
        <v>274</v>
      </c>
      <c r="L40" s="33" t="s">
        <v>275</v>
      </c>
    </row>
    <row r="41" spans="1:12" x14ac:dyDescent="0.3">
      <c r="A41" s="7" t="s">
        <v>309</v>
      </c>
      <c r="B41" s="11">
        <v>661311</v>
      </c>
      <c r="C41" s="11">
        <v>747347</v>
      </c>
      <c r="D41" s="11">
        <v>953957</v>
      </c>
      <c r="E41" s="11">
        <v>1301728</v>
      </c>
      <c r="F41" s="11">
        <v>1992182</v>
      </c>
      <c r="G41" s="32" t="s">
        <v>274</v>
      </c>
      <c r="H41" s="32" t="s">
        <v>274</v>
      </c>
      <c r="I41" s="32" t="s">
        <v>274</v>
      </c>
      <c r="J41" s="32" t="s">
        <v>274</v>
      </c>
      <c r="K41" s="11">
        <v>2073953</v>
      </c>
      <c r="L41" s="33" t="s">
        <v>275</v>
      </c>
    </row>
    <row r="42" spans="1:12" x14ac:dyDescent="0.3">
      <c r="A42" s="7" t="s">
        <v>310</v>
      </c>
      <c r="B42" s="11">
        <v>7818</v>
      </c>
      <c r="C42" s="11">
        <v>1177</v>
      </c>
      <c r="D42" s="11">
        <v>2447</v>
      </c>
      <c r="E42" s="11">
        <v>6381</v>
      </c>
      <c r="F42" s="11">
        <v>7998</v>
      </c>
      <c r="G42" s="32" t="s">
        <v>274</v>
      </c>
      <c r="H42" s="32" t="s">
        <v>274</v>
      </c>
      <c r="I42" s="32" t="s">
        <v>274</v>
      </c>
      <c r="J42" s="32" t="s">
        <v>274</v>
      </c>
      <c r="K42" s="11">
        <v>16196</v>
      </c>
      <c r="L42" s="33" t="s">
        <v>275</v>
      </c>
    </row>
    <row r="43" spans="1:12" x14ac:dyDescent="0.3">
      <c r="A43" s="7" t="s">
        <v>311</v>
      </c>
      <c r="B43" s="11">
        <v>12933</v>
      </c>
      <c r="C43" s="11">
        <v>21970</v>
      </c>
      <c r="D43" s="11">
        <v>24931</v>
      </c>
      <c r="E43" s="11">
        <v>36375</v>
      </c>
      <c r="F43" s="11">
        <v>45688</v>
      </c>
      <c r="G43" s="32" t="s">
        <v>274</v>
      </c>
      <c r="H43" s="32" t="s">
        <v>274</v>
      </c>
      <c r="I43" s="32" t="s">
        <v>274</v>
      </c>
      <c r="J43" s="32" t="s">
        <v>274</v>
      </c>
      <c r="K43" s="11">
        <v>55429</v>
      </c>
      <c r="L43" s="33" t="s">
        <v>275</v>
      </c>
    </row>
    <row r="44" spans="1:12" x14ac:dyDescent="0.3">
      <c r="A44" s="7" t="s">
        <v>312</v>
      </c>
      <c r="B44" s="32" t="s">
        <v>274</v>
      </c>
      <c r="C44" s="32" t="s">
        <v>274</v>
      </c>
      <c r="D44" s="32" t="s">
        <v>274</v>
      </c>
      <c r="E44" s="32" t="s">
        <v>274</v>
      </c>
      <c r="F44" s="32" t="s">
        <v>274</v>
      </c>
      <c r="G44" s="32" t="s">
        <v>274</v>
      </c>
      <c r="H44" s="32" t="s">
        <v>274</v>
      </c>
      <c r="I44" s="32" t="s">
        <v>274</v>
      </c>
      <c r="J44" s="32" t="s">
        <v>274</v>
      </c>
      <c r="K44" s="32" t="s">
        <v>274</v>
      </c>
      <c r="L44" s="33" t="s">
        <v>275</v>
      </c>
    </row>
    <row r="45" spans="1:12" x14ac:dyDescent="0.3">
      <c r="A45" s="7" t="s">
        <v>313</v>
      </c>
      <c r="B45" s="32" t="s">
        <v>274</v>
      </c>
      <c r="C45" s="32" t="s">
        <v>274</v>
      </c>
      <c r="D45" s="32" t="s">
        <v>274</v>
      </c>
      <c r="E45" s="32" t="s">
        <v>274</v>
      </c>
      <c r="F45" s="32" t="s">
        <v>274</v>
      </c>
      <c r="G45" s="32" t="s">
        <v>274</v>
      </c>
      <c r="H45" s="32" t="s">
        <v>274</v>
      </c>
      <c r="I45" s="32" t="s">
        <v>274</v>
      </c>
      <c r="J45" s="32" t="s">
        <v>274</v>
      </c>
      <c r="K45" s="32" t="s">
        <v>274</v>
      </c>
      <c r="L45" s="33" t="s">
        <v>275</v>
      </c>
    </row>
    <row r="46" spans="1:12" x14ac:dyDescent="0.3">
      <c r="A46" s="7" t="s">
        <v>314</v>
      </c>
      <c r="B46" s="11">
        <v>119131</v>
      </c>
      <c r="C46" s="11">
        <v>181766</v>
      </c>
      <c r="D46" s="11">
        <v>277362</v>
      </c>
      <c r="E46" s="11">
        <v>422231</v>
      </c>
      <c r="F46" s="11">
        <v>551148</v>
      </c>
      <c r="G46" s="32" t="s">
        <v>274</v>
      </c>
      <c r="H46" s="32" t="s">
        <v>274</v>
      </c>
      <c r="I46" s="32" t="s">
        <v>274</v>
      </c>
      <c r="J46" s="32" t="s">
        <v>274</v>
      </c>
      <c r="K46" s="11">
        <v>577833</v>
      </c>
      <c r="L46" s="33" t="s">
        <v>275</v>
      </c>
    </row>
    <row r="47" spans="1:12" x14ac:dyDescent="0.3">
      <c r="A47" s="7" t="s">
        <v>315</v>
      </c>
      <c r="B47" s="32" t="s">
        <v>274</v>
      </c>
      <c r="C47" s="32" t="s">
        <v>274</v>
      </c>
      <c r="D47" s="32" t="s">
        <v>274</v>
      </c>
      <c r="E47" s="32" t="s">
        <v>274</v>
      </c>
      <c r="F47" s="32" t="s">
        <v>274</v>
      </c>
      <c r="G47" s="32" t="s">
        <v>274</v>
      </c>
      <c r="H47" s="32" t="s">
        <v>274</v>
      </c>
      <c r="I47" s="32" t="s">
        <v>274</v>
      </c>
      <c r="J47" s="32" t="s">
        <v>274</v>
      </c>
      <c r="K47" s="32" t="s">
        <v>274</v>
      </c>
      <c r="L47" s="33" t="s">
        <v>275</v>
      </c>
    </row>
    <row r="48" spans="1:12" x14ac:dyDescent="0.3">
      <c r="A48" s="7" t="s">
        <v>316</v>
      </c>
      <c r="B48" s="32" t="s">
        <v>274</v>
      </c>
      <c r="C48" s="32" t="s">
        <v>274</v>
      </c>
      <c r="D48" s="32" t="s">
        <v>274</v>
      </c>
      <c r="E48" s="32" t="s">
        <v>274</v>
      </c>
      <c r="F48" s="32" t="s">
        <v>274</v>
      </c>
      <c r="G48" s="32" t="s">
        <v>274</v>
      </c>
      <c r="H48" s="32" t="s">
        <v>274</v>
      </c>
      <c r="I48" s="32" t="s">
        <v>274</v>
      </c>
      <c r="J48" s="32" t="s">
        <v>274</v>
      </c>
      <c r="K48" s="32" t="s">
        <v>274</v>
      </c>
      <c r="L48" s="33" t="s">
        <v>275</v>
      </c>
    </row>
    <row r="49" spans="1:12" x14ac:dyDescent="0.3">
      <c r="A49" s="7" t="s">
        <v>317</v>
      </c>
      <c r="B49" s="11">
        <v>148255</v>
      </c>
      <c r="C49" s="11">
        <v>205269</v>
      </c>
      <c r="D49" s="11">
        <v>298456</v>
      </c>
      <c r="E49" s="11">
        <v>477178</v>
      </c>
      <c r="F49" s="11">
        <v>645176</v>
      </c>
      <c r="G49" s="32" t="s">
        <v>274</v>
      </c>
      <c r="H49" s="32" t="s">
        <v>274</v>
      </c>
      <c r="I49" s="32" t="s">
        <v>274</v>
      </c>
      <c r="J49" s="32" t="s">
        <v>274</v>
      </c>
      <c r="K49" s="11">
        <v>664211</v>
      </c>
      <c r="L49" s="33" t="s">
        <v>275</v>
      </c>
    </row>
    <row r="50" spans="1:12" x14ac:dyDescent="0.3">
      <c r="A50" s="7" t="s">
        <v>318</v>
      </c>
      <c r="B50" s="11">
        <v>4</v>
      </c>
      <c r="C50" s="11">
        <v>4</v>
      </c>
      <c r="D50" s="11">
        <v>4</v>
      </c>
      <c r="E50" s="11">
        <v>4</v>
      </c>
      <c r="F50" s="11">
        <v>5</v>
      </c>
      <c r="G50" s="32" t="s">
        <v>274</v>
      </c>
      <c r="H50" s="32" t="s">
        <v>274</v>
      </c>
      <c r="I50" s="32" t="s">
        <v>274</v>
      </c>
      <c r="J50" s="32" t="s">
        <v>274</v>
      </c>
      <c r="K50" s="11">
        <v>5</v>
      </c>
      <c r="L50" s="33" t="s">
        <v>275</v>
      </c>
    </row>
    <row r="51" spans="1:12" x14ac:dyDescent="0.3">
      <c r="A51" s="7" t="s">
        <v>319</v>
      </c>
      <c r="B51" s="11">
        <v>683966</v>
      </c>
      <c r="C51" s="11">
        <v>772562</v>
      </c>
      <c r="D51" s="11">
        <v>869918</v>
      </c>
      <c r="E51" s="11">
        <v>950393</v>
      </c>
      <c r="F51" s="11">
        <v>1058783</v>
      </c>
      <c r="G51" s="32" t="s">
        <v>274</v>
      </c>
      <c r="H51" s="32" t="s">
        <v>274</v>
      </c>
      <c r="I51" s="32" t="s">
        <v>274</v>
      </c>
      <c r="J51" s="32" t="s">
        <v>274</v>
      </c>
      <c r="K51" s="11">
        <v>1046326</v>
      </c>
      <c r="L51" s="33" t="s">
        <v>275</v>
      </c>
    </row>
    <row r="52" spans="1:12" x14ac:dyDescent="0.3">
      <c r="A52" s="7" t="s">
        <v>320</v>
      </c>
      <c r="B52" s="32" t="s">
        <v>274</v>
      </c>
      <c r="C52" s="32" t="s">
        <v>274</v>
      </c>
      <c r="D52" s="32" t="s">
        <v>274</v>
      </c>
      <c r="E52" s="32" t="s">
        <v>274</v>
      </c>
      <c r="F52" s="32" t="s">
        <v>274</v>
      </c>
      <c r="G52" s="32" t="s">
        <v>274</v>
      </c>
      <c r="H52" s="32" t="s">
        <v>274</v>
      </c>
      <c r="I52" s="32" t="s">
        <v>274</v>
      </c>
      <c r="J52" s="32" t="s">
        <v>274</v>
      </c>
      <c r="K52" s="32" t="s">
        <v>274</v>
      </c>
      <c r="L52" s="33" t="s">
        <v>275</v>
      </c>
    </row>
    <row r="53" spans="1:12" x14ac:dyDescent="0.3">
      <c r="A53" s="7" t="s">
        <v>321</v>
      </c>
      <c r="B53" s="32" t="s">
        <v>274</v>
      </c>
      <c r="C53" s="32" t="s">
        <v>274</v>
      </c>
      <c r="D53" s="32" t="s">
        <v>274</v>
      </c>
      <c r="E53" s="32" t="s">
        <v>274</v>
      </c>
      <c r="F53" s="32" t="s">
        <v>274</v>
      </c>
      <c r="G53" s="32" t="s">
        <v>274</v>
      </c>
      <c r="H53" s="32" t="s">
        <v>274</v>
      </c>
      <c r="I53" s="32" t="s">
        <v>274</v>
      </c>
      <c r="J53" s="32" t="s">
        <v>274</v>
      </c>
      <c r="K53" s="32" t="s">
        <v>274</v>
      </c>
      <c r="L53" s="33" t="s">
        <v>275</v>
      </c>
    </row>
    <row r="54" spans="1:12" x14ac:dyDescent="0.3">
      <c r="A54" s="7" t="s">
        <v>322</v>
      </c>
      <c r="B54" s="11">
        <v>513056</v>
      </c>
      <c r="C54" s="11">
        <v>542078</v>
      </c>
      <c r="D54" s="11">
        <v>655501</v>
      </c>
      <c r="E54" s="11">
        <v>824550</v>
      </c>
      <c r="F54" s="11">
        <v>1347006</v>
      </c>
      <c r="G54" s="32" t="s">
        <v>274</v>
      </c>
      <c r="H54" s="32" t="s">
        <v>274</v>
      </c>
      <c r="I54" s="32" t="s">
        <v>274</v>
      </c>
      <c r="J54" s="32" t="s">
        <v>274</v>
      </c>
      <c r="K54" s="11">
        <v>1409742</v>
      </c>
      <c r="L54" s="33" t="s">
        <v>275</v>
      </c>
    </row>
    <row r="55" spans="1:12" x14ac:dyDescent="0.3">
      <c r="A55" s="7" t="s">
        <v>323</v>
      </c>
      <c r="B55" s="11">
        <v>661311</v>
      </c>
      <c r="C55" s="11">
        <v>747347</v>
      </c>
      <c r="D55" s="11">
        <v>953957</v>
      </c>
      <c r="E55" s="11">
        <v>1301728</v>
      </c>
      <c r="F55" s="11">
        <v>1992182</v>
      </c>
      <c r="G55" s="32" t="s">
        <v>274</v>
      </c>
      <c r="H55" s="32" t="s">
        <v>274</v>
      </c>
      <c r="I55" s="32" t="s">
        <v>274</v>
      </c>
      <c r="J55" s="32" t="s">
        <v>274</v>
      </c>
      <c r="K55" s="11">
        <v>2073953</v>
      </c>
      <c r="L55" s="33" t="s">
        <v>275</v>
      </c>
    </row>
    <row r="56" spans="1:12" x14ac:dyDescent="0.3">
      <c r="A56" s="7" t="s">
        <v>324</v>
      </c>
      <c r="B56" s="32" t="s">
        <v>274</v>
      </c>
      <c r="C56" s="32" t="s">
        <v>274</v>
      </c>
      <c r="D56" s="11">
        <v>2735</v>
      </c>
      <c r="E56" s="11">
        <v>2735</v>
      </c>
      <c r="F56" s="11">
        <v>2735</v>
      </c>
      <c r="G56" s="32" t="s">
        <v>274</v>
      </c>
      <c r="H56" s="32" t="s">
        <v>274</v>
      </c>
      <c r="I56" s="32" t="s">
        <v>274</v>
      </c>
      <c r="J56" s="32" t="s">
        <v>274</v>
      </c>
      <c r="K56" s="11">
        <v>2735</v>
      </c>
      <c r="L56" s="33" t="s">
        <v>275</v>
      </c>
    </row>
    <row r="58" spans="1:12" ht="18" customHeight="1" x14ac:dyDescent="0.3">
      <c r="A58" s="23" t="s">
        <v>325</v>
      </c>
      <c r="B58" s="23" t="s">
        <v>4</v>
      </c>
      <c r="C58" s="23" t="s">
        <v>4</v>
      </c>
      <c r="D58" s="23" t="s">
        <v>4</v>
      </c>
      <c r="E58" s="23" t="s">
        <v>4</v>
      </c>
      <c r="F58" s="23" t="s">
        <v>4</v>
      </c>
      <c r="G58" s="23" t="s">
        <v>4</v>
      </c>
      <c r="H58" s="23" t="s">
        <v>4</v>
      </c>
      <c r="I58" s="23" t="s">
        <v>4</v>
      </c>
      <c r="J58" s="23" t="s">
        <v>4</v>
      </c>
      <c r="K58" s="23" t="s">
        <v>4</v>
      </c>
      <c r="L58" s="23" t="s">
        <v>4</v>
      </c>
    </row>
    <row r="59" spans="1:12" x14ac:dyDescent="0.3">
      <c r="A59" s="7" t="s">
        <v>326</v>
      </c>
      <c r="B59" s="32" t="s">
        <v>274</v>
      </c>
      <c r="C59" s="32" t="s">
        <v>274</v>
      </c>
      <c r="D59" s="32" t="s">
        <v>274</v>
      </c>
      <c r="E59" s="32" t="s">
        <v>274</v>
      </c>
      <c r="F59" s="32" t="s">
        <v>274</v>
      </c>
      <c r="G59" s="32" t="s">
        <v>274</v>
      </c>
      <c r="H59" s="32" t="s">
        <v>274</v>
      </c>
      <c r="I59" s="32" t="s">
        <v>274</v>
      </c>
      <c r="J59" s="32" t="s">
        <v>274</v>
      </c>
      <c r="K59" s="32" t="s">
        <v>274</v>
      </c>
      <c r="L59" s="33" t="s">
        <v>275</v>
      </c>
    </row>
    <row r="60" spans="1:12" x14ac:dyDescent="0.3">
      <c r="A60" s="7" t="s">
        <v>327</v>
      </c>
      <c r="B60" s="11">
        <v>2726</v>
      </c>
      <c r="C60" s="11">
        <v>4870</v>
      </c>
      <c r="D60" s="11">
        <v>7095</v>
      </c>
      <c r="E60" s="11">
        <v>10854</v>
      </c>
      <c r="F60" s="11">
        <v>14391</v>
      </c>
      <c r="G60" s="11">
        <v>10583</v>
      </c>
      <c r="H60" s="11">
        <v>8438</v>
      </c>
      <c r="I60" s="32" t="s">
        <v>274</v>
      </c>
      <c r="J60" s="32" t="s">
        <v>274</v>
      </c>
      <c r="K60" s="32" t="s">
        <v>274</v>
      </c>
      <c r="L60" s="33" t="s">
        <v>275</v>
      </c>
    </row>
    <row r="61" spans="1:12" x14ac:dyDescent="0.3">
      <c r="A61" s="7" t="s">
        <v>328</v>
      </c>
      <c r="B61" s="11">
        <v>40804</v>
      </c>
      <c r="C61" s="11">
        <v>73820</v>
      </c>
      <c r="D61" s="11">
        <v>95221</v>
      </c>
      <c r="E61" s="11">
        <v>110477</v>
      </c>
      <c r="F61" s="11">
        <v>137437</v>
      </c>
      <c r="G61" s="11">
        <v>101175</v>
      </c>
      <c r="H61" s="11">
        <v>72857</v>
      </c>
      <c r="I61" s="32" t="s">
        <v>274</v>
      </c>
      <c r="J61" s="32" t="s">
        <v>274</v>
      </c>
      <c r="K61" s="32" t="s">
        <v>274</v>
      </c>
      <c r="L61" s="33" t="s">
        <v>275</v>
      </c>
    </row>
    <row r="62" spans="1:12" x14ac:dyDescent="0.3">
      <c r="A62" s="7" t="s">
        <v>329</v>
      </c>
      <c r="B62" s="32" t="s">
        <v>274</v>
      </c>
      <c r="C62" s="32" t="s">
        <v>274</v>
      </c>
      <c r="D62" s="32" t="s">
        <v>274</v>
      </c>
      <c r="E62" s="32" t="s">
        <v>274</v>
      </c>
      <c r="F62" s="32" t="s">
        <v>274</v>
      </c>
      <c r="G62" s="32" t="s">
        <v>274</v>
      </c>
      <c r="H62" s="32" t="s">
        <v>274</v>
      </c>
      <c r="I62" s="32" t="s">
        <v>274</v>
      </c>
      <c r="J62" s="32" t="s">
        <v>274</v>
      </c>
      <c r="K62" s="32" t="s">
        <v>274</v>
      </c>
      <c r="L62" s="33" t="s">
        <v>275</v>
      </c>
    </row>
    <row r="63" spans="1:12" x14ac:dyDescent="0.3">
      <c r="A63" s="7" t="s">
        <v>330</v>
      </c>
      <c r="B63" s="32" t="s">
        <v>274</v>
      </c>
      <c r="C63" s="32" t="s">
        <v>274</v>
      </c>
      <c r="D63" s="32" t="s">
        <v>274</v>
      </c>
      <c r="E63" s="32" t="s">
        <v>274</v>
      </c>
      <c r="F63" s="32" t="s">
        <v>274</v>
      </c>
      <c r="G63" s="32" t="s">
        <v>274</v>
      </c>
      <c r="H63" s="32" t="s">
        <v>274</v>
      </c>
      <c r="I63" s="32" t="s">
        <v>274</v>
      </c>
      <c r="J63" s="32" t="s">
        <v>274</v>
      </c>
      <c r="K63" s="32" t="s">
        <v>274</v>
      </c>
      <c r="L63" s="33" t="s">
        <v>275</v>
      </c>
    </row>
    <row r="64" spans="1:12" x14ac:dyDescent="0.3">
      <c r="A64" s="7" t="s">
        <v>331</v>
      </c>
      <c r="B64" s="32" t="s">
        <v>274</v>
      </c>
      <c r="C64" s="32" t="s">
        <v>274</v>
      </c>
      <c r="D64" s="32" t="s">
        <v>274</v>
      </c>
      <c r="E64" s="32" t="s">
        <v>274</v>
      </c>
      <c r="F64" s="32" t="s">
        <v>274</v>
      </c>
      <c r="G64" s="32" t="s">
        <v>274</v>
      </c>
      <c r="H64" s="32" t="s">
        <v>274</v>
      </c>
      <c r="I64" s="32" t="s">
        <v>274</v>
      </c>
      <c r="J64" s="32" t="s">
        <v>274</v>
      </c>
      <c r="K64" s="32" t="s">
        <v>274</v>
      </c>
      <c r="L64" s="33" t="s">
        <v>275</v>
      </c>
    </row>
    <row r="65" spans="1:12" x14ac:dyDescent="0.3">
      <c r="A65" s="7" t="s">
        <v>332</v>
      </c>
      <c r="B65" s="32" t="s">
        <v>274</v>
      </c>
      <c r="C65" s="32" t="s">
        <v>274</v>
      </c>
      <c r="D65" s="32" t="s">
        <v>274</v>
      </c>
      <c r="E65" s="32" t="s">
        <v>274</v>
      </c>
      <c r="F65" s="32" t="s">
        <v>274</v>
      </c>
      <c r="G65" s="32" t="s">
        <v>274</v>
      </c>
      <c r="H65" s="32" t="s">
        <v>274</v>
      </c>
      <c r="I65" s="32" t="s">
        <v>274</v>
      </c>
      <c r="J65" s="32" t="s">
        <v>274</v>
      </c>
      <c r="K65" s="32" t="s">
        <v>274</v>
      </c>
      <c r="L65" s="33" t="s">
        <v>275</v>
      </c>
    </row>
    <row r="66" spans="1:12" x14ac:dyDescent="0.3">
      <c r="A66" s="7" t="s">
        <v>333</v>
      </c>
      <c r="B66" s="32" t="s">
        <v>274</v>
      </c>
      <c r="C66" s="32" t="s">
        <v>274</v>
      </c>
      <c r="D66" s="32" t="s">
        <v>274</v>
      </c>
      <c r="E66" s="32" t="s">
        <v>274</v>
      </c>
      <c r="F66" s="32" t="s">
        <v>274</v>
      </c>
      <c r="G66" s="32" t="s">
        <v>274</v>
      </c>
      <c r="H66" s="32" t="s">
        <v>274</v>
      </c>
      <c r="I66" s="32" t="s">
        <v>274</v>
      </c>
      <c r="J66" s="32" t="s">
        <v>274</v>
      </c>
      <c r="K66" s="32" t="s">
        <v>274</v>
      </c>
      <c r="L66" s="33" t="s">
        <v>275</v>
      </c>
    </row>
    <row r="67" spans="1:12" x14ac:dyDescent="0.3">
      <c r="A67" s="7" t="s">
        <v>334</v>
      </c>
      <c r="B67" s="32" t="s">
        <v>274</v>
      </c>
      <c r="C67" s="32" t="s">
        <v>274</v>
      </c>
      <c r="D67" s="32" t="s">
        <v>274</v>
      </c>
      <c r="E67" s="32" t="s">
        <v>274</v>
      </c>
      <c r="F67" s="32" t="s">
        <v>274</v>
      </c>
      <c r="G67" s="32" t="s">
        <v>274</v>
      </c>
      <c r="H67" s="32" t="s">
        <v>274</v>
      </c>
      <c r="I67" s="32" t="s">
        <v>274</v>
      </c>
      <c r="J67" s="32" t="s">
        <v>274</v>
      </c>
      <c r="K67" s="32" t="s">
        <v>274</v>
      </c>
      <c r="L67" s="33" t="s">
        <v>275</v>
      </c>
    </row>
    <row r="68" spans="1:12" x14ac:dyDescent="0.3">
      <c r="A68" s="7" t="s">
        <v>335</v>
      </c>
      <c r="B68" s="11">
        <v>553922</v>
      </c>
      <c r="C68" s="11">
        <v>608180</v>
      </c>
      <c r="D68" s="11">
        <v>750345</v>
      </c>
      <c r="E68" s="11">
        <v>788526</v>
      </c>
      <c r="F68" s="11">
        <v>1039124</v>
      </c>
      <c r="G68" s="11">
        <v>1014277</v>
      </c>
      <c r="H68" s="11">
        <v>1183622</v>
      </c>
      <c r="I68" s="32" t="s">
        <v>274</v>
      </c>
      <c r="J68" s="32" t="s">
        <v>274</v>
      </c>
      <c r="K68" s="32" t="s">
        <v>274</v>
      </c>
      <c r="L68" s="33" t="s">
        <v>275</v>
      </c>
    </row>
    <row r="70" spans="1:12" ht="18" customHeight="1" x14ac:dyDescent="0.3">
      <c r="A70" s="23" t="s">
        <v>336</v>
      </c>
      <c r="B70" s="23" t="s">
        <v>4</v>
      </c>
      <c r="C70" s="23" t="s">
        <v>4</v>
      </c>
      <c r="D70" s="23" t="s">
        <v>4</v>
      </c>
      <c r="E70" s="23" t="s">
        <v>4</v>
      </c>
      <c r="F70" s="23" t="s">
        <v>4</v>
      </c>
      <c r="G70" s="23" t="s">
        <v>4</v>
      </c>
      <c r="H70" s="23" t="s">
        <v>4</v>
      </c>
      <c r="I70" s="23" t="s">
        <v>4</v>
      </c>
      <c r="J70" s="23" t="s">
        <v>4</v>
      </c>
      <c r="K70" s="23" t="s">
        <v>4</v>
      </c>
      <c r="L70" s="23" t="s">
        <v>4</v>
      </c>
    </row>
    <row r="71" spans="1:12" x14ac:dyDescent="0.3">
      <c r="A71" s="7" t="s">
        <v>337</v>
      </c>
      <c r="B71" s="32" t="s">
        <v>274</v>
      </c>
      <c r="C71" s="32" t="s">
        <v>274</v>
      </c>
      <c r="D71" s="32" t="s">
        <v>274</v>
      </c>
      <c r="E71" s="32" t="s">
        <v>274</v>
      </c>
      <c r="F71" s="12">
        <v>52700000</v>
      </c>
      <c r="G71" s="25" t="s">
        <v>1272</v>
      </c>
      <c r="H71" s="6" t="s">
        <v>1273</v>
      </c>
      <c r="I71" s="32" t="s">
        <v>274</v>
      </c>
      <c r="J71" s="32" t="s">
        <v>274</v>
      </c>
      <c r="K71" s="32" t="s">
        <v>274</v>
      </c>
      <c r="L71" s="33" t="s">
        <v>338</v>
      </c>
    </row>
    <row r="72" spans="1:12" x14ac:dyDescent="0.3">
      <c r="A72" s="7" t="s">
        <v>339</v>
      </c>
      <c r="B72" s="32" t="s">
        <v>274</v>
      </c>
      <c r="C72" s="32" t="s">
        <v>274</v>
      </c>
      <c r="D72" s="32" t="s">
        <v>274</v>
      </c>
      <c r="E72" s="32" t="s">
        <v>274</v>
      </c>
      <c r="F72" s="12">
        <v>133100000</v>
      </c>
      <c r="G72" s="25" t="s">
        <v>1272</v>
      </c>
      <c r="H72" s="6" t="s">
        <v>1273</v>
      </c>
      <c r="I72" s="32" t="s">
        <v>274</v>
      </c>
      <c r="J72" s="32" t="s">
        <v>274</v>
      </c>
      <c r="K72" s="32" t="s">
        <v>274</v>
      </c>
      <c r="L72" s="33" t="s">
        <v>338</v>
      </c>
    </row>
    <row r="73" spans="1:12" x14ac:dyDescent="0.3">
      <c r="A73" s="7" t="s">
        <v>340</v>
      </c>
      <c r="B73" s="12">
        <v>2500000</v>
      </c>
      <c r="C73" s="12">
        <v>4200000</v>
      </c>
      <c r="D73" s="12">
        <v>6600000</v>
      </c>
      <c r="E73" s="12">
        <v>9500000</v>
      </c>
      <c r="F73" s="12">
        <v>12200000</v>
      </c>
      <c r="G73" s="25" t="s">
        <v>1272</v>
      </c>
      <c r="H73" s="6" t="s">
        <v>1273</v>
      </c>
      <c r="I73" s="12">
        <v>11500000</v>
      </c>
      <c r="J73" s="12">
        <v>12500000</v>
      </c>
      <c r="K73" s="12">
        <v>12700000</v>
      </c>
      <c r="L73" s="33" t="s">
        <v>338</v>
      </c>
    </row>
    <row r="75" spans="1:12" ht="18" customHeight="1" x14ac:dyDescent="0.3">
      <c r="A75" s="23" t="s">
        <v>341</v>
      </c>
      <c r="B75" s="23" t="s">
        <v>4</v>
      </c>
      <c r="C75" s="23" t="s">
        <v>4</v>
      </c>
      <c r="D75" s="23" t="s">
        <v>4</v>
      </c>
      <c r="E75" s="23" t="s">
        <v>4</v>
      </c>
      <c r="F75" s="23" t="s">
        <v>4</v>
      </c>
      <c r="G75" s="23" t="s">
        <v>4</v>
      </c>
      <c r="H75" s="23" t="s">
        <v>4</v>
      </c>
      <c r="I75" s="23" t="s">
        <v>4</v>
      </c>
      <c r="J75" s="23" t="s">
        <v>4</v>
      </c>
      <c r="K75" s="23" t="s">
        <v>4</v>
      </c>
      <c r="L75" s="23" t="s">
        <v>4</v>
      </c>
    </row>
    <row r="76" spans="1:12" x14ac:dyDescent="0.3">
      <c r="A76" s="34" t="s">
        <v>294</v>
      </c>
      <c r="B76" s="11">
        <v>-60135</v>
      </c>
      <c r="C76" s="11">
        <v>-59574</v>
      </c>
      <c r="D76" s="11">
        <v>16067</v>
      </c>
      <c r="E76" s="11">
        <v>88574</v>
      </c>
      <c r="F76" s="11">
        <v>414065</v>
      </c>
      <c r="G76" s="11">
        <v>372111</v>
      </c>
    </row>
    <row r="77" spans="1:12" x14ac:dyDescent="0.3">
      <c r="A77" s="34" t="s">
        <v>342</v>
      </c>
      <c r="B77" s="11">
        <v>19</v>
      </c>
      <c r="C77" s="11">
        <v>7235</v>
      </c>
      <c r="D77" s="11">
        <v>31091</v>
      </c>
      <c r="E77" s="11">
        <v>42697</v>
      </c>
      <c r="F77" s="11">
        <v>45231</v>
      </c>
      <c r="G77" s="11">
        <v>33635</v>
      </c>
    </row>
    <row r="78" spans="1:12" x14ac:dyDescent="0.3">
      <c r="A78" s="34" t="s">
        <v>343</v>
      </c>
      <c r="B78" s="11">
        <v>177</v>
      </c>
      <c r="C78" s="11">
        <v>938</v>
      </c>
      <c r="D78" s="11">
        <v>1710</v>
      </c>
      <c r="E78" s="11">
        <v>13732</v>
      </c>
      <c r="F78" s="11">
        <v>-231655</v>
      </c>
      <c r="G78" s="11">
        <v>-244202</v>
      </c>
    </row>
    <row r="79" spans="1:12" x14ac:dyDescent="0.3">
      <c r="A79" s="34" t="s">
        <v>344</v>
      </c>
      <c r="B79" s="11">
        <v>2726</v>
      </c>
      <c r="C79" s="11">
        <v>4870</v>
      </c>
      <c r="D79" s="11">
        <v>7095</v>
      </c>
      <c r="E79" s="11">
        <v>10854</v>
      </c>
      <c r="F79" s="11">
        <v>14391</v>
      </c>
      <c r="G79" s="11">
        <v>10583</v>
      </c>
    </row>
    <row r="80" spans="1:12" x14ac:dyDescent="0.3">
      <c r="A80" s="34" t="s">
        <v>345</v>
      </c>
      <c r="B80" s="11">
        <v>40804</v>
      </c>
      <c r="C80" s="11">
        <v>73820</v>
      </c>
      <c r="D80" s="11">
        <v>95221</v>
      </c>
      <c r="E80" s="11">
        <v>110477</v>
      </c>
      <c r="F80" s="11">
        <v>137437</v>
      </c>
      <c r="G80" s="11">
        <v>101175</v>
      </c>
    </row>
    <row r="81" spans="1:12" x14ac:dyDescent="0.3">
      <c r="A81" s="4" t="s">
        <v>346</v>
      </c>
      <c r="B81" s="20">
        <f t="shared" ref="B81:G81" si="0">B76-B77+B78+B79+B80</f>
        <v>-16447</v>
      </c>
      <c r="C81" s="20">
        <f t="shared" si="0"/>
        <v>12819</v>
      </c>
      <c r="D81" s="20">
        <f t="shared" si="0"/>
        <v>89002</v>
      </c>
      <c r="E81" s="20">
        <f t="shared" si="0"/>
        <v>180940</v>
      </c>
      <c r="F81" s="20">
        <f t="shared" si="0"/>
        <v>289007</v>
      </c>
      <c r="G81" s="20">
        <f t="shared" si="0"/>
        <v>206032</v>
      </c>
    </row>
    <row r="82" spans="1:12" x14ac:dyDescent="0.3">
      <c r="A82" s="4" t="s">
        <v>347</v>
      </c>
      <c r="B82" s="35">
        <v>-1066</v>
      </c>
      <c r="C82" s="35">
        <v>15457</v>
      </c>
      <c r="D82" s="35">
        <v>93678</v>
      </c>
      <c r="E82" s="35">
        <v>191942</v>
      </c>
      <c r="F82" s="35">
        <v>305878</v>
      </c>
      <c r="G82" s="35">
        <v>221530</v>
      </c>
    </row>
    <row r="83" spans="1:12" x14ac:dyDescent="0.3">
      <c r="A83" s="34" t="s">
        <v>348</v>
      </c>
      <c r="B83" s="36">
        <f t="shared" ref="B83:G83" si="1">B82-B81</f>
        <v>15381</v>
      </c>
      <c r="C83" s="36">
        <f t="shared" si="1"/>
        <v>2638</v>
      </c>
      <c r="D83" s="36">
        <f t="shared" si="1"/>
        <v>4676</v>
      </c>
      <c r="E83" s="36">
        <f t="shared" si="1"/>
        <v>11002</v>
      </c>
      <c r="F83" s="36">
        <f t="shared" si="1"/>
        <v>16871</v>
      </c>
      <c r="G83" s="36">
        <f t="shared" si="1"/>
        <v>15498</v>
      </c>
    </row>
    <row r="84" spans="1:12" x14ac:dyDescent="0.3">
      <c r="A84" s="4" t="s">
        <v>349</v>
      </c>
      <c r="B84" s="37" t="str">
        <f t="shared" ref="B84:G84" si="2">IF(ABS(B81+B83-B82)&lt;=Tolerance_USD,"OK","BREAK")</f>
        <v>OK</v>
      </c>
      <c r="C84" s="37" t="str">
        <f t="shared" si="2"/>
        <v>OK</v>
      </c>
      <c r="D84" s="37" t="str">
        <f t="shared" si="2"/>
        <v>OK</v>
      </c>
      <c r="E84" s="37" t="str">
        <f t="shared" si="2"/>
        <v>OK</v>
      </c>
      <c r="F84" s="37" t="str">
        <f t="shared" si="2"/>
        <v>OK</v>
      </c>
      <c r="G84" s="37" t="str">
        <f t="shared" si="2"/>
        <v>OK</v>
      </c>
    </row>
    <row r="86" spans="1:12" ht="18" customHeight="1" x14ac:dyDescent="0.3">
      <c r="A86" s="23" t="s">
        <v>350</v>
      </c>
      <c r="B86" s="23" t="s">
        <v>4</v>
      </c>
      <c r="C86" s="23" t="s">
        <v>4</v>
      </c>
      <c r="D86" s="23" t="s">
        <v>4</v>
      </c>
      <c r="E86" s="23" t="s">
        <v>4</v>
      </c>
      <c r="F86" s="23" t="s">
        <v>4</v>
      </c>
      <c r="G86" s="23" t="s">
        <v>4</v>
      </c>
      <c r="H86" s="23" t="s">
        <v>4</v>
      </c>
      <c r="I86" s="23" t="s">
        <v>4</v>
      </c>
      <c r="J86" s="23" t="s">
        <v>4</v>
      </c>
      <c r="K86" s="23" t="s">
        <v>4</v>
      </c>
      <c r="L86" s="23" t="s">
        <v>4</v>
      </c>
    </row>
    <row r="87" spans="1:12" x14ac:dyDescent="0.3">
      <c r="A87" s="4" t="s">
        <v>351</v>
      </c>
      <c r="B87" s="37" t="str">
        <f>IF(ABS(B41-B55)&lt;=Tolerance_USD,"OK","BREAK")</f>
        <v>OK</v>
      </c>
      <c r="C87" s="37" t="str">
        <f>IF(ABS(C41-C55)&lt;=Tolerance_USD,"OK","BREAK")</f>
        <v>OK</v>
      </c>
      <c r="D87" s="37" t="str">
        <f>IF(ABS(D41-D55)&lt;=Tolerance_USD,"OK","BREAK")</f>
        <v>OK</v>
      </c>
      <c r="E87" s="37" t="str">
        <f>IF(ABS(E41-E55)&lt;=Tolerance_USD,"OK","BREAK")</f>
        <v>OK</v>
      </c>
      <c r="F87" s="37" t="str">
        <f>IF(ABS(F41-F55)&lt;=Tolerance_USD,"OK","BREAK")</f>
        <v>OK</v>
      </c>
      <c r="G87" s="38" t="s">
        <v>274</v>
      </c>
      <c r="H87" s="38" t="s">
        <v>274</v>
      </c>
      <c r="I87" s="38" t="s">
        <v>274</v>
      </c>
      <c r="J87" s="38" t="s">
        <v>274</v>
      </c>
      <c r="K87" s="37" t="str">
        <f>IF(ABS(K41-K55)&lt;=Tolerance_USD,"OK","BREAK")</f>
        <v>OK</v>
      </c>
    </row>
    <row r="88" spans="1:12" x14ac:dyDescent="0.3">
      <c r="A88" s="4" t="s">
        <v>352</v>
      </c>
      <c r="B88" s="37" t="str">
        <f>IF(ABS(B68-B29-0)&lt;=Tolerance_USD,"OK","BREAK")</f>
        <v>OK</v>
      </c>
      <c r="C88" s="37" t="str">
        <f>IF(ABS(C68-C29-0)&lt;=Tolerance_USD,"OK","BREAK")</f>
        <v>OK</v>
      </c>
      <c r="D88" s="37" t="str">
        <f>IF(ABS(D68-D29-D56)&lt;=Tolerance_USD,"OK","BREAK")</f>
        <v>OK</v>
      </c>
      <c r="E88" s="37" t="str">
        <f>IF(ABS(E68-E29-E56)&lt;=Tolerance_USD,"OK","BREAK")</f>
        <v>OK</v>
      </c>
      <c r="F88" s="37" t="str">
        <f>IF(ABS(F68-F29-F56)&lt;=Tolerance_USD,"OK","BREAK")</f>
        <v>OK</v>
      </c>
      <c r="G88" s="38" t="s">
        <v>274</v>
      </c>
      <c r="H88" s="37" t="str">
        <f>IF(ABS(H68-K29-K56)&lt;=Tolerance_USD,"OK","BREAK")</f>
        <v>OK</v>
      </c>
      <c r="I88" s="38" t="s">
        <v>274</v>
      </c>
      <c r="J88" s="38" t="s">
        <v>274</v>
      </c>
      <c r="K88" s="38" t="s">
        <v>274</v>
      </c>
    </row>
  </sheetData>
  <sheetProtection sheet="1"/>
  <mergeCells count="2">
    <mergeCell ref="A1:L1"/>
    <mergeCell ref="A2:L2"/>
  </mergeCells>
  <conditionalFormatting sqref="B84:G84">
    <cfRule type="expression" dxfId="77" priority="1">
      <formula>B84="OK"</formula>
    </cfRule>
    <cfRule type="expression" dxfId="76" priority="2">
      <formula>B84="BREAK"</formula>
    </cfRule>
  </conditionalFormatting>
  <conditionalFormatting sqref="B87:K88">
    <cfRule type="expression" dxfId="75" priority="3">
      <formula>B87="OK"</formula>
    </cfRule>
    <cfRule type="expression" dxfId="74" priority="4">
      <formula>B87="BREAK"</formula>
    </cfRule>
  </conditionalFormatting>
  <pageMargins left="0.7" right="0.7" top="0.75" bottom="0.75" header="0.3" footer="0.3"/>
  <pageSetup fitToHeight="0" orientation="landscape"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63EB"/>
    <pageSetUpPr fitToPage="1"/>
  </sheetPr>
  <dimension ref="A1:L66"/>
  <sheetViews>
    <sheetView workbookViewId="0">
      <pane xSplit="1" ySplit="4" topLeftCell="B5" activePane="bottomRight" state="frozen"/>
      <selection pane="topRight"/>
      <selection pane="bottomLeft"/>
      <selection pane="bottomRight" sqref="A1:L1"/>
    </sheetView>
  </sheetViews>
  <sheetFormatPr defaultRowHeight="14.4" x14ac:dyDescent="0.3"/>
  <cols>
    <col min="1" max="1" width="82" customWidth="1"/>
    <col min="2" max="6" width="18" customWidth="1"/>
    <col min="7" max="7" width="52" customWidth="1"/>
    <col min="8" max="8" width="65" customWidth="1"/>
  </cols>
  <sheetData>
    <row r="1" spans="1:12" ht="22.05" customHeight="1" x14ac:dyDescent="0.4">
      <c r="A1" s="78" t="s">
        <v>353</v>
      </c>
      <c r="B1" s="78"/>
      <c r="C1" s="78"/>
      <c r="D1" s="78"/>
      <c r="E1" s="78"/>
      <c r="F1" s="78"/>
      <c r="G1" s="78"/>
      <c r="H1" s="78"/>
      <c r="I1" s="78"/>
      <c r="J1" s="78"/>
      <c r="K1" s="78"/>
      <c r="L1" s="78"/>
    </row>
    <row r="2" spans="1:12" ht="16.05" customHeight="1" x14ac:dyDescent="0.3">
      <c r="A2" s="79" t="s">
        <v>354</v>
      </c>
      <c r="B2" s="79"/>
      <c r="C2" s="79"/>
      <c r="D2" s="79"/>
      <c r="E2" s="79"/>
      <c r="F2" s="79"/>
      <c r="G2" s="79"/>
      <c r="H2" s="79"/>
      <c r="I2" s="79"/>
      <c r="J2" s="79"/>
      <c r="K2" s="79"/>
      <c r="L2" s="79"/>
    </row>
    <row r="3" spans="1:12" x14ac:dyDescent="0.3">
      <c r="A3" s="79" t="s">
        <v>355</v>
      </c>
      <c r="B3" s="79"/>
      <c r="C3" s="79"/>
      <c r="D3" s="79"/>
      <c r="E3" s="79"/>
      <c r="F3" s="79"/>
      <c r="G3" s="79"/>
      <c r="H3" s="79"/>
    </row>
    <row r="4" spans="1:12" ht="19.95" customHeight="1" x14ac:dyDescent="0.3">
      <c r="A4" s="2" t="s">
        <v>356</v>
      </c>
      <c r="B4" s="3" t="s">
        <v>209</v>
      </c>
      <c r="C4" s="3" t="s">
        <v>357</v>
      </c>
      <c r="D4" s="3" t="s">
        <v>358</v>
      </c>
      <c r="E4" s="3" t="s">
        <v>359</v>
      </c>
      <c r="F4" s="3" t="s">
        <v>212</v>
      </c>
      <c r="G4" s="3" t="s">
        <v>360</v>
      </c>
      <c r="H4" s="3" t="s">
        <v>103</v>
      </c>
    </row>
    <row r="5" spans="1:12" ht="18" customHeight="1" x14ac:dyDescent="0.3">
      <c r="A5" s="23" t="s">
        <v>361</v>
      </c>
      <c r="B5" s="23" t="s">
        <v>4</v>
      </c>
      <c r="C5" s="23" t="s">
        <v>4</v>
      </c>
      <c r="D5" s="23" t="s">
        <v>4</v>
      </c>
      <c r="E5" s="23" t="s">
        <v>4</v>
      </c>
      <c r="F5" s="23" t="s">
        <v>4</v>
      </c>
      <c r="G5" s="23" t="s">
        <v>4</v>
      </c>
      <c r="H5" s="23" t="s">
        <v>4</v>
      </c>
    </row>
    <row r="6" spans="1:12" x14ac:dyDescent="0.3">
      <c r="A6" s="7" t="s">
        <v>362</v>
      </c>
      <c r="B6" s="39">
        <f>Hist_PaidSubs_FY2025</f>
        <v>12200000</v>
      </c>
      <c r="C6" s="39">
        <f>B7</f>
        <v>13818679.691272968</v>
      </c>
      <c r="D6" s="39">
        <f>C7</f>
        <v>16360335.628209114</v>
      </c>
      <c r="E6" s="39">
        <f>D7</f>
        <v>19369475.79996999</v>
      </c>
      <c r="F6" s="39">
        <f>E7</f>
        <v>22932084.114382669</v>
      </c>
      <c r="G6" s="25" t="s">
        <v>363</v>
      </c>
      <c r="H6" s="6" t="s">
        <v>364</v>
      </c>
    </row>
    <row r="7" spans="1:12" x14ac:dyDescent="0.3">
      <c r="A7" s="4" t="s">
        <v>365</v>
      </c>
      <c r="B7" s="12">
        <v>13818679.691272968</v>
      </c>
      <c r="C7" s="12">
        <v>16360335.628209114</v>
      </c>
      <c r="D7" s="40">
        <f>C7*(1+Assumption_paid_subscriber_growth)</f>
        <v>19369475.79996999</v>
      </c>
      <c r="E7" s="40">
        <f>D7*(1+Assumption_paid_subscriber_growth)</f>
        <v>22932084.114382669</v>
      </c>
      <c r="F7" s="40">
        <f>E7*(1+Assumption_paid_subscriber_growth)</f>
        <v>27149959.413456958</v>
      </c>
      <c r="G7" s="25" t="s">
        <v>366</v>
      </c>
      <c r="H7" s="6" t="s">
        <v>367</v>
      </c>
    </row>
    <row r="8" spans="1:12" x14ac:dyDescent="0.3">
      <c r="A8" s="7" t="s">
        <v>368</v>
      </c>
      <c r="B8" s="39">
        <f>AVERAGE(B6,B7)</f>
        <v>13009339.845636483</v>
      </c>
      <c r="C8" s="39">
        <f>AVERAGE(C6,C7)</f>
        <v>15089507.65974104</v>
      </c>
      <c r="D8" s="39">
        <f>AVERAGE(D6,D7)</f>
        <v>17864905.71408955</v>
      </c>
      <c r="E8" s="39">
        <f>AVERAGE(E6,E7)</f>
        <v>21150779.957176328</v>
      </c>
      <c r="F8" s="39">
        <f>AVERAGE(F6,F7)</f>
        <v>25041021.763919815</v>
      </c>
      <c r="G8" s="25" t="s">
        <v>369</v>
      </c>
    </row>
    <row r="9" spans="1:12" x14ac:dyDescent="0.3">
      <c r="A9" s="7" t="s">
        <v>370</v>
      </c>
      <c r="B9" s="39">
        <f>B7-B6</f>
        <v>1618679.6912729684</v>
      </c>
      <c r="C9" s="39">
        <f>C7-C6</f>
        <v>2541655.9369361456</v>
      </c>
      <c r="D9" s="39">
        <f>D7-D6</f>
        <v>3009140.1717608757</v>
      </c>
      <c r="E9" s="39">
        <f>E7-E6</f>
        <v>3562608.3144126795</v>
      </c>
      <c r="F9" s="39">
        <f>F7-F6</f>
        <v>4217875.2990742885</v>
      </c>
      <c r="G9" s="25" t="s">
        <v>371</v>
      </c>
    </row>
    <row r="10" spans="1:12" x14ac:dyDescent="0.3">
      <c r="A10" s="7" t="s">
        <v>372</v>
      </c>
      <c r="B10" s="41">
        <f>B7/B6-1</f>
        <v>0.13267866321909572</v>
      </c>
      <c r="C10" s="41">
        <f>C7/B7-1</f>
        <v>0.18392900000000001</v>
      </c>
      <c r="D10" s="41">
        <f>D7/C7-1</f>
        <v>0.18392900000000001</v>
      </c>
      <c r="E10" s="41">
        <f>E7/D7-1</f>
        <v>0.18392900000000001</v>
      </c>
      <c r="F10" s="41">
        <f>F7/E7-1</f>
        <v>0.18392900000000001</v>
      </c>
      <c r="G10" s="25" t="s">
        <v>373</v>
      </c>
    </row>
    <row r="11" spans="1:12" x14ac:dyDescent="0.3">
      <c r="A11" s="42" t="s">
        <v>374</v>
      </c>
      <c r="B11" s="43">
        <f>Hist_PaidSubs_FY2025/Hist_MAU_FY2025</f>
        <v>9.1660405709992482E-2</v>
      </c>
      <c r="C11" s="43">
        <f>Hist_PaidSubs_FY2025/Hist_MAU_FY2025</f>
        <v>9.1660405709992482E-2</v>
      </c>
      <c r="D11" s="43">
        <f>Hist_PaidSubs_FY2025/Hist_MAU_FY2025</f>
        <v>9.1660405709992482E-2</v>
      </c>
      <c r="E11" s="43">
        <f>Hist_PaidSubs_FY2025/Hist_MAU_FY2025</f>
        <v>9.1660405709992482E-2</v>
      </c>
      <c r="F11" s="43">
        <f>Hist_PaidSubs_FY2025/Hist_MAU_FY2025</f>
        <v>9.1660405709992482E-2</v>
      </c>
      <c r="G11" s="25" t="s">
        <v>375</v>
      </c>
      <c r="H11" s="6" t="s">
        <v>1274</v>
      </c>
    </row>
    <row r="12" spans="1:12" x14ac:dyDescent="0.3">
      <c r="A12" s="42" t="s">
        <v>376</v>
      </c>
      <c r="B12" s="43">
        <f>Hist_DAU_FY2025/Hist_MAU_FY2025</f>
        <v>0.3959429000751315</v>
      </c>
      <c r="C12" s="43">
        <f>Hist_DAU_FY2025/Hist_MAU_FY2025</f>
        <v>0.3959429000751315</v>
      </c>
      <c r="D12" s="43">
        <f>Hist_DAU_FY2025/Hist_MAU_FY2025</f>
        <v>0.3959429000751315</v>
      </c>
      <c r="E12" s="43">
        <f>Hist_DAU_FY2025/Hist_MAU_FY2025</f>
        <v>0.3959429000751315</v>
      </c>
      <c r="F12" s="43">
        <f>Hist_DAU_FY2025/Hist_MAU_FY2025</f>
        <v>0.3959429000751315</v>
      </c>
      <c r="G12" s="25" t="s">
        <v>375</v>
      </c>
      <c r="H12" s="6" t="s">
        <v>1275</v>
      </c>
    </row>
    <row r="14" spans="1:12" ht="18" customHeight="1" x14ac:dyDescent="0.3">
      <c r="A14" s="23" t="s">
        <v>377</v>
      </c>
      <c r="B14" s="23" t="s">
        <v>4</v>
      </c>
      <c r="C14" s="23" t="s">
        <v>4</v>
      </c>
      <c r="D14" s="23" t="s">
        <v>4</v>
      </c>
      <c r="E14" s="23" t="s">
        <v>4</v>
      </c>
      <c r="F14" s="23" t="s">
        <v>4</v>
      </c>
      <c r="G14" s="23" t="s">
        <v>4</v>
      </c>
      <c r="H14" s="23" t="s">
        <v>4</v>
      </c>
    </row>
    <row r="15" spans="1:12" x14ac:dyDescent="0.3">
      <c r="A15" s="42" t="s">
        <v>378</v>
      </c>
      <c r="B15" s="11">
        <v>508943</v>
      </c>
      <c r="C15" s="44" t="s">
        <v>274</v>
      </c>
      <c r="D15" s="44" t="s">
        <v>274</v>
      </c>
      <c r="E15" s="44" t="s">
        <v>274</v>
      </c>
      <c r="F15" s="44" t="s">
        <v>274</v>
      </c>
      <c r="G15" s="25" t="s">
        <v>379</v>
      </c>
      <c r="H15" s="6" t="s">
        <v>380</v>
      </c>
    </row>
    <row r="16" spans="1:12" x14ac:dyDescent="0.3">
      <c r="A16" s="42" t="s">
        <v>381</v>
      </c>
      <c r="B16" s="11">
        <v>522134.23308105289</v>
      </c>
      <c r="C16" s="44" t="s">
        <v>274</v>
      </c>
      <c r="D16" s="44" t="s">
        <v>274</v>
      </c>
      <c r="E16" s="44" t="s">
        <v>274</v>
      </c>
      <c r="F16" s="44" t="s">
        <v>274</v>
      </c>
      <c r="G16" s="25" t="s">
        <v>379</v>
      </c>
      <c r="H16" s="6" t="s">
        <v>382</v>
      </c>
    </row>
    <row r="17" spans="1:8" x14ac:dyDescent="0.3">
      <c r="A17" s="42" t="s">
        <v>383</v>
      </c>
      <c r="B17" s="45">
        <v>0.17811689643419704</v>
      </c>
      <c r="C17" s="44" t="s">
        <v>274</v>
      </c>
      <c r="D17" s="44" t="s">
        <v>274</v>
      </c>
      <c r="E17" s="44" t="s">
        <v>274</v>
      </c>
      <c r="F17" s="44" t="s">
        <v>274</v>
      </c>
      <c r="G17" s="25" t="s">
        <v>384</v>
      </c>
      <c r="H17" s="6" t="s">
        <v>385</v>
      </c>
    </row>
    <row r="18" spans="1:8" x14ac:dyDescent="0.3">
      <c r="A18" s="4" t="s">
        <v>273</v>
      </c>
      <c r="B18" s="20">
        <f>B15+B16</f>
        <v>1031077.2330810529</v>
      </c>
      <c r="C18" s="20">
        <f>B18*(1+B17)</f>
        <v>1214729.5098214091</v>
      </c>
      <c r="D18" s="19">
        <f>C18*(1+Assumption_paid_subscriber_growth)</f>
        <v>1438153.4938333512</v>
      </c>
      <c r="E18" s="19">
        <f>D18*(1+Assumption_paid_subscriber_growth)</f>
        <v>1702671.6278006257</v>
      </c>
      <c r="F18" s="19">
        <f>E18*(1+Assumption_paid_subscriber_growth)</f>
        <v>2015842.3176303671</v>
      </c>
      <c r="G18" s="25" t="s">
        <v>366</v>
      </c>
      <c r="H18" s="6" t="s">
        <v>386</v>
      </c>
    </row>
    <row r="19" spans="1:8" x14ac:dyDescent="0.3">
      <c r="A19" s="42" t="s">
        <v>387</v>
      </c>
      <c r="B19" s="11">
        <v>1031077.2330810529</v>
      </c>
      <c r="C19" s="11">
        <v>1214729.5098214091</v>
      </c>
      <c r="D19" s="11">
        <v>1438153.4938333514</v>
      </c>
      <c r="E19" s="11">
        <v>1702671.6278006257</v>
      </c>
      <c r="F19" s="11">
        <v>2015842.3176303674</v>
      </c>
      <c r="G19" s="25" t="s">
        <v>388</v>
      </c>
    </row>
    <row r="20" spans="1:8" x14ac:dyDescent="0.3">
      <c r="A20" s="42" t="s">
        <v>389</v>
      </c>
      <c r="B20" s="37" t="str">
        <f>IF(ABS(B18-B19)&lt;=Tolerance_USD,"OK","BREAK")</f>
        <v>OK</v>
      </c>
      <c r="C20" s="37" t="str">
        <f>IF(ABS(C18-C19)&lt;=Tolerance_USD,"OK","BREAK")</f>
        <v>OK</v>
      </c>
      <c r="D20" s="37" t="str">
        <f>IF(ABS(D18-D19)&lt;=Tolerance_USD,"OK","BREAK")</f>
        <v>OK</v>
      </c>
      <c r="E20" s="37" t="str">
        <f>IF(ABS(E18-E19)&lt;=Tolerance_USD,"OK","BREAK")</f>
        <v>OK</v>
      </c>
      <c r="F20" s="37" t="str">
        <f>IF(ABS(F18-F19)&lt;=Tolerance_USD,"OK","BREAK")</f>
        <v>OK</v>
      </c>
    </row>
    <row r="22" spans="1:8" x14ac:dyDescent="0.3">
      <c r="A22" s="42" t="s">
        <v>390</v>
      </c>
      <c r="B22" s="11">
        <v>41666</v>
      </c>
      <c r="C22" s="44" t="s">
        <v>274</v>
      </c>
      <c r="D22" s="44" t="s">
        <v>274</v>
      </c>
      <c r="E22" s="44" t="s">
        <v>274</v>
      </c>
      <c r="F22" s="44" t="s">
        <v>274</v>
      </c>
      <c r="G22" s="25" t="s">
        <v>379</v>
      </c>
      <c r="H22" s="6" t="s">
        <v>380</v>
      </c>
    </row>
    <row r="23" spans="1:8" x14ac:dyDescent="0.3">
      <c r="A23" s="42" t="s">
        <v>391</v>
      </c>
      <c r="B23" s="11">
        <v>43157.374800000005</v>
      </c>
      <c r="C23" s="44" t="s">
        <v>274</v>
      </c>
      <c r="D23" s="44" t="s">
        <v>274</v>
      </c>
      <c r="E23" s="44" t="s">
        <v>274</v>
      </c>
      <c r="F23" s="44" t="s">
        <v>274</v>
      </c>
      <c r="G23" s="25" t="s">
        <v>379</v>
      </c>
      <c r="H23" s="6" t="s">
        <v>382</v>
      </c>
    </row>
    <row r="24" spans="1:8" x14ac:dyDescent="0.3">
      <c r="A24" s="42" t="s">
        <v>392</v>
      </c>
      <c r="B24" s="45">
        <v>0.10169138829097379</v>
      </c>
      <c r="C24" s="44" t="s">
        <v>274</v>
      </c>
      <c r="D24" s="44" t="s">
        <v>274</v>
      </c>
      <c r="E24" s="44" t="s">
        <v>274</v>
      </c>
      <c r="F24" s="44" t="s">
        <v>274</v>
      </c>
      <c r="G24" s="25" t="s">
        <v>384</v>
      </c>
      <c r="H24" s="6" t="s">
        <v>385</v>
      </c>
    </row>
    <row r="25" spans="1:8" x14ac:dyDescent="0.3">
      <c r="A25" s="4" t="s">
        <v>276</v>
      </c>
      <c r="B25" s="20">
        <f>B22+B23</f>
        <v>84823.374800000005</v>
      </c>
      <c r="C25" s="20">
        <f>B25*(1+B24)</f>
        <v>93449.1815429376</v>
      </c>
      <c r="D25" s="19">
        <f>C25*(1+Assumption_advertising_revenue_growth)</f>
        <v>101173.31709255066</v>
      </c>
      <c r="E25" s="19">
        <f>D25*(1+Assumption_advertising_revenue_growth)</f>
        <v>109535.89879015253</v>
      </c>
      <c r="F25" s="19">
        <f>E25*(1+Assumption_advertising_revenue_growth)</f>
        <v>118589.69804055138</v>
      </c>
      <c r="G25" s="25" t="s">
        <v>393</v>
      </c>
      <c r="H25" s="6" t="s">
        <v>394</v>
      </c>
    </row>
    <row r="26" spans="1:8" x14ac:dyDescent="0.3">
      <c r="A26" s="42" t="s">
        <v>395</v>
      </c>
      <c r="B26" s="11">
        <v>84823.374800000005</v>
      </c>
      <c r="C26" s="11">
        <v>93449.181542937615</v>
      </c>
      <c r="D26" s="11">
        <v>101173.31709255067</v>
      </c>
      <c r="E26" s="11">
        <v>109535.89879015254</v>
      </c>
      <c r="F26" s="11">
        <v>118589.6980405514</v>
      </c>
      <c r="G26" s="25" t="s">
        <v>388</v>
      </c>
    </row>
    <row r="27" spans="1:8" x14ac:dyDescent="0.3">
      <c r="A27" s="42" t="s">
        <v>396</v>
      </c>
      <c r="B27" s="37" t="str">
        <f>IF(ABS(B25-B26)&lt;=Tolerance_USD,"OK","BREAK")</f>
        <v>OK</v>
      </c>
      <c r="C27" s="37" t="str">
        <f>IF(ABS(C25-C26)&lt;=Tolerance_USD,"OK","BREAK")</f>
        <v>OK</v>
      </c>
      <c r="D27" s="37" t="str">
        <f>IF(ABS(D25-D26)&lt;=Tolerance_USD,"OK","BREAK")</f>
        <v>OK</v>
      </c>
      <c r="E27" s="37" t="str">
        <f>IF(ABS(E25-E26)&lt;=Tolerance_USD,"OK","BREAK")</f>
        <v>OK</v>
      </c>
      <c r="F27" s="37" t="str">
        <f>IF(ABS(F25-F26)&lt;=Tolerance_USD,"OK","BREAK")</f>
        <v>OK</v>
      </c>
    </row>
    <row r="29" spans="1:8" x14ac:dyDescent="0.3">
      <c r="A29" s="42" t="s">
        <v>397</v>
      </c>
      <c r="B29" s="11">
        <v>21426</v>
      </c>
      <c r="C29" s="44" t="s">
        <v>274</v>
      </c>
      <c r="D29" s="44" t="s">
        <v>274</v>
      </c>
      <c r="E29" s="44" t="s">
        <v>274</v>
      </c>
      <c r="F29" s="44" t="s">
        <v>274</v>
      </c>
      <c r="G29" s="25" t="s">
        <v>379</v>
      </c>
      <c r="H29" s="6" t="s">
        <v>380</v>
      </c>
    </row>
    <row r="30" spans="1:8" x14ac:dyDescent="0.3">
      <c r="A30" s="42" t="s">
        <v>398</v>
      </c>
      <c r="B30" s="11">
        <v>20386.435932</v>
      </c>
      <c r="C30" s="44" t="s">
        <v>274</v>
      </c>
      <c r="D30" s="44" t="s">
        <v>274</v>
      </c>
      <c r="E30" s="44" t="s">
        <v>274</v>
      </c>
      <c r="F30" s="44" t="s">
        <v>274</v>
      </c>
      <c r="G30" s="25" t="s">
        <v>379</v>
      </c>
      <c r="H30" s="6" t="s">
        <v>382</v>
      </c>
    </row>
    <row r="31" spans="1:8" x14ac:dyDescent="0.3">
      <c r="A31" s="42" t="s">
        <v>399</v>
      </c>
      <c r="B31" s="45">
        <v>-5.348869169155368E-2</v>
      </c>
      <c r="C31" s="44" t="s">
        <v>274</v>
      </c>
      <c r="D31" s="44" t="s">
        <v>274</v>
      </c>
      <c r="E31" s="44" t="s">
        <v>274</v>
      </c>
      <c r="F31" s="44" t="s">
        <v>274</v>
      </c>
      <c r="G31" s="25" t="s">
        <v>384</v>
      </c>
      <c r="H31" s="6" t="s">
        <v>385</v>
      </c>
    </row>
    <row r="32" spans="1:8" x14ac:dyDescent="0.3">
      <c r="A32" s="4" t="s">
        <v>400</v>
      </c>
      <c r="B32" s="20">
        <f>B29+B30</f>
        <v>41812.435932</v>
      </c>
      <c r="C32" s="20">
        <f>B32*(1+B31)</f>
        <v>39575.943437560411</v>
      </c>
      <c r="D32" s="19">
        <f>C32*(1+Assumption_det_revenue_growth)</f>
        <v>38414.152042007387</v>
      </c>
      <c r="E32" s="19">
        <f>D32*(1+Assumption_det_revenue_growth)</f>
        <v>37286.466194662215</v>
      </c>
      <c r="F32" s="19">
        <f>E32*(1+Assumption_det_revenue_growth)</f>
        <v>36191.88469305171</v>
      </c>
      <c r="G32" s="25" t="s">
        <v>401</v>
      </c>
      <c r="H32" s="6" t="s">
        <v>402</v>
      </c>
    </row>
    <row r="33" spans="1:8" x14ac:dyDescent="0.3">
      <c r="A33" s="42" t="s">
        <v>403</v>
      </c>
      <c r="B33" s="11">
        <v>41812.435932</v>
      </c>
      <c r="C33" s="11">
        <v>39575.943437560411</v>
      </c>
      <c r="D33" s="11">
        <v>38414.152042007387</v>
      </c>
      <c r="E33" s="11">
        <v>37286.466194662215</v>
      </c>
      <c r="F33" s="11">
        <v>36191.88469305171</v>
      </c>
      <c r="G33" s="25" t="s">
        <v>388</v>
      </c>
    </row>
    <row r="34" spans="1:8" x14ac:dyDescent="0.3">
      <c r="A34" s="42" t="s">
        <v>404</v>
      </c>
      <c r="B34" s="37" t="str">
        <f>IF(ABS(B32-B33)&lt;=Tolerance_USD,"OK","BREAK")</f>
        <v>OK</v>
      </c>
      <c r="C34" s="37" t="str">
        <f>IF(ABS(C32-C33)&lt;=Tolerance_USD,"OK","BREAK")</f>
        <v>OK</v>
      </c>
      <c r="D34" s="37" t="str">
        <f>IF(ABS(D32-D33)&lt;=Tolerance_USD,"OK","BREAK")</f>
        <v>OK</v>
      </c>
      <c r="E34" s="37" t="str">
        <f>IF(ABS(E32-E33)&lt;=Tolerance_USD,"OK","BREAK")</f>
        <v>OK</v>
      </c>
      <c r="F34" s="37" t="str">
        <f>IF(ABS(F32-F33)&lt;=Tolerance_USD,"OK","BREAK")</f>
        <v>OK</v>
      </c>
    </row>
    <row r="36" spans="1:8" x14ac:dyDescent="0.3">
      <c r="A36" s="42" t="s">
        <v>405</v>
      </c>
      <c r="B36" s="11">
        <v>16448</v>
      </c>
      <c r="C36" s="44" t="s">
        <v>274</v>
      </c>
      <c r="D36" s="44" t="s">
        <v>274</v>
      </c>
      <c r="E36" s="44" t="s">
        <v>274</v>
      </c>
      <c r="F36" s="44" t="s">
        <v>274</v>
      </c>
      <c r="G36" s="25" t="s">
        <v>379</v>
      </c>
      <c r="H36" s="6" t="s">
        <v>380</v>
      </c>
    </row>
    <row r="37" spans="1:8" x14ac:dyDescent="0.3">
      <c r="A37" s="42" t="s">
        <v>406</v>
      </c>
      <c r="B37" s="11">
        <v>16785.973396499998</v>
      </c>
      <c r="C37" s="44" t="s">
        <v>274</v>
      </c>
      <c r="D37" s="44" t="s">
        <v>274</v>
      </c>
      <c r="E37" s="44" t="s">
        <v>274</v>
      </c>
      <c r="F37" s="44" t="s">
        <v>274</v>
      </c>
      <c r="G37" s="25" t="s">
        <v>379</v>
      </c>
      <c r="H37" s="6" t="s">
        <v>382</v>
      </c>
    </row>
    <row r="38" spans="1:8" x14ac:dyDescent="0.3">
      <c r="A38" s="42" t="s">
        <v>407</v>
      </c>
      <c r="B38" s="45">
        <v>-0.16219873971487464</v>
      </c>
      <c r="C38" s="44" t="s">
        <v>274</v>
      </c>
      <c r="D38" s="44" t="s">
        <v>274</v>
      </c>
      <c r="E38" s="44" t="s">
        <v>274</v>
      </c>
      <c r="F38" s="44" t="s">
        <v>274</v>
      </c>
      <c r="G38" s="25" t="s">
        <v>384</v>
      </c>
      <c r="H38" s="6" t="s">
        <v>385</v>
      </c>
    </row>
    <row r="39" spans="1:8" x14ac:dyDescent="0.3">
      <c r="A39" s="4" t="s">
        <v>408</v>
      </c>
      <c r="B39" s="20">
        <f>B36+B37</f>
        <v>33233.973396499998</v>
      </c>
      <c r="C39" s="20">
        <f>B39*(1+B38)</f>
        <v>27843.464795870026</v>
      </c>
      <c r="D39" s="19">
        <f>C39*(1+Assumption_iap_revenue_growth)</f>
        <v>23092.450867356336</v>
      </c>
      <c r="E39" s="19">
        <f>D39*(1+Assumption_iap_revenue_growth)</f>
        <v>19152.116698506721</v>
      </c>
      <c r="F39" s="19">
        <f>E39*(1+Assumption_iap_revenue_growth)</f>
        <v>15884.133569890424</v>
      </c>
      <c r="G39" s="25" t="s">
        <v>409</v>
      </c>
      <c r="H39" s="6" t="s">
        <v>410</v>
      </c>
    </row>
    <row r="40" spans="1:8" x14ac:dyDescent="0.3">
      <c r="A40" s="42" t="s">
        <v>411</v>
      </c>
      <c r="B40" s="11">
        <v>33233.973396499998</v>
      </c>
      <c r="C40" s="11">
        <v>27843.464795870026</v>
      </c>
      <c r="D40" s="11">
        <v>23092.450867356336</v>
      </c>
      <c r="E40" s="11">
        <v>19152.116698506721</v>
      </c>
      <c r="F40" s="11">
        <v>15884.133569890424</v>
      </c>
      <c r="G40" s="25" t="s">
        <v>388</v>
      </c>
    </row>
    <row r="41" spans="1:8" x14ac:dyDescent="0.3">
      <c r="A41" s="42" t="s">
        <v>412</v>
      </c>
      <c r="B41" s="37" t="str">
        <f>IF(ABS(B39-B40)&lt;=Tolerance_USD,"OK","BREAK")</f>
        <v>OK</v>
      </c>
      <c r="C41" s="37" t="str">
        <f>IF(ABS(C39-C40)&lt;=Tolerance_USD,"OK","BREAK")</f>
        <v>OK</v>
      </c>
      <c r="D41" s="37" t="str">
        <f>IF(ABS(D39-D40)&lt;=Tolerance_USD,"OK","BREAK")</f>
        <v>OK</v>
      </c>
      <c r="E41" s="37" t="str">
        <f>IF(ABS(E39-E40)&lt;=Tolerance_USD,"OK","BREAK")</f>
        <v>OK</v>
      </c>
      <c r="F41" s="37" t="str">
        <f>IF(ABS(F39-F40)&lt;=Tolerance_USD,"OK","BREAK")</f>
        <v>OK</v>
      </c>
    </row>
    <row r="43" spans="1:8" x14ac:dyDescent="0.3">
      <c r="A43" s="42" t="s">
        <v>413</v>
      </c>
      <c r="B43" s="11">
        <v>1938</v>
      </c>
      <c r="C43" s="44" t="s">
        <v>274</v>
      </c>
      <c r="D43" s="44" t="s">
        <v>274</v>
      </c>
      <c r="E43" s="44" t="s">
        <v>274</v>
      </c>
      <c r="F43" s="44" t="s">
        <v>274</v>
      </c>
      <c r="G43" s="25" t="s">
        <v>379</v>
      </c>
      <c r="H43" s="6" t="s">
        <v>380</v>
      </c>
    </row>
    <row r="44" spans="1:8" x14ac:dyDescent="0.3">
      <c r="A44" s="42" t="s">
        <v>414</v>
      </c>
      <c r="B44" s="11">
        <v>968.5</v>
      </c>
      <c r="C44" s="44" t="s">
        <v>274</v>
      </c>
      <c r="D44" s="44" t="s">
        <v>274</v>
      </c>
      <c r="E44" s="44" t="s">
        <v>274</v>
      </c>
      <c r="F44" s="44" t="s">
        <v>274</v>
      </c>
      <c r="G44" s="25" t="s">
        <v>379</v>
      </c>
      <c r="H44" s="6" t="s">
        <v>382</v>
      </c>
    </row>
    <row r="45" spans="1:8" x14ac:dyDescent="0.3">
      <c r="A45" s="42" t="s">
        <v>415</v>
      </c>
      <c r="B45" s="45">
        <v>-0.33356270428350254</v>
      </c>
      <c r="C45" s="44" t="s">
        <v>274</v>
      </c>
      <c r="D45" s="44" t="s">
        <v>274</v>
      </c>
      <c r="E45" s="44" t="s">
        <v>274</v>
      </c>
      <c r="F45" s="44" t="s">
        <v>274</v>
      </c>
      <c r="G45" s="25" t="s">
        <v>384</v>
      </c>
      <c r="H45" s="6" t="s">
        <v>385</v>
      </c>
    </row>
    <row r="46" spans="1:8" x14ac:dyDescent="0.3">
      <c r="A46" s="4" t="s">
        <v>279</v>
      </c>
      <c r="B46" s="20">
        <f>B43+B44</f>
        <v>2906.5</v>
      </c>
      <c r="C46" s="20">
        <f>B46*(1+B45)</f>
        <v>1936.9999999999998</v>
      </c>
      <c r="D46" s="19">
        <f>C46*(1+Assumption_other_revenue_growth)</f>
        <v>1936.9999999999998</v>
      </c>
      <c r="E46" s="19">
        <f>D46*(1+Assumption_other_revenue_growth)</f>
        <v>1936.9999999999998</v>
      </c>
      <c r="F46" s="19">
        <f>E46*(1+Assumption_other_revenue_growth)</f>
        <v>1936.9999999999998</v>
      </c>
      <c r="G46" s="25" t="s">
        <v>416</v>
      </c>
      <c r="H46" s="6" t="s">
        <v>417</v>
      </c>
    </row>
    <row r="47" spans="1:8" x14ac:dyDescent="0.3">
      <c r="A47" s="42" t="s">
        <v>418</v>
      </c>
      <c r="B47" s="11">
        <v>2906.5</v>
      </c>
      <c r="C47" s="11">
        <v>1937</v>
      </c>
      <c r="D47" s="11">
        <v>1937</v>
      </c>
      <c r="E47" s="11">
        <v>1937</v>
      </c>
      <c r="F47" s="11">
        <v>1937</v>
      </c>
      <c r="G47" s="25" t="s">
        <v>388</v>
      </c>
    </row>
    <row r="48" spans="1:8" x14ac:dyDescent="0.3">
      <c r="A48" s="42" t="s">
        <v>419</v>
      </c>
      <c r="B48" s="37" t="str">
        <f>IF(ABS(B46-B47)&lt;=Tolerance_USD,"OK","BREAK")</f>
        <v>OK</v>
      </c>
      <c r="C48" s="37" t="str">
        <f>IF(ABS(C46-C47)&lt;=Tolerance_USD,"OK","BREAK")</f>
        <v>OK</v>
      </c>
      <c r="D48" s="37" t="str">
        <f>IF(ABS(D46-D47)&lt;=Tolerance_USD,"OK","BREAK")</f>
        <v>OK</v>
      </c>
      <c r="E48" s="37" t="str">
        <f>IF(ABS(E46-E47)&lt;=Tolerance_USD,"OK","BREAK")</f>
        <v>OK</v>
      </c>
      <c r="F48" s="37" t="str">
        <f>IF(ABS(F46-F47)&lt;=Tolerance_USD,"OK","BREAK")</f>
        <v>OK</v>
      </c>
    </row>
    <row r="50" spans="1:8" x14ac:dyDescent="0.3">
      <c r="A50" s="4" t="s">
        <v>420</v>
      </c>
      <c r="B50" s="20">
        <f>B18+B25+B32+B39+B46</f>
        <v>1193853.5172095529</v>
      </c>
      <c r="C50" s="20">
        <f>C18+C25+C32+C39+C46</f>
        <v>1377535.0995977772</v>
      </c>
      <c r="D50" s="20">
        <f>D18+D25+D32+D39+D46</f>
        <v>1602770.4138352654</v>
      </c>
      <c r="E50" s="20">
        <f>E18+E25+E32+E39+E46</f>
        <v>1870583.1094839473</v>
      </c>
      <c r="F50" s="20">
        <f>F18+F25+F32+F39+F46</f>
        <v>2188445.0339338607</v>
      </c>
      <c r="G50" s="25" t="s">
        <v>421</v>
      </c>
      <c r="H50" s="6" t="s">
        <v>422</v>
      </c>
    </row>
    <row r="51" spans="1:8" x14ac:dyDescent="0.3">
      <c r="A51" s="7" t="s">
        <v>423</v>
      </c>
      <c r="B51" s="43">
        <f>B50/Hist_Revenue_FY2025-1</f>
        <v>0.15060348289115733</v>
      </c>
      <c r="C51" s="41">
        <f>C50/B50-1</f>
        <v>0.15385604660909435</v>
      </c>
      <c r="D51" s="41">
        <f>D50/C50-1</f>
        <v>0.16350604373220978</v>
      </c>
      <c r="E51" s="41">
        <f>E50/D50-1</f>
        <v>0.16709361074854967</v>
      </c>
      <c r="F51" s="41">
        <f>F50/E50-1</f>
        <v>0.16992665166190046</v>
      </c>
      <c r="G51" s="25" t="s">
        <v>424</v>
      </c>
    </row>
    <row r="53" spans="1:8" ht="18" customHeight="1" x14ac:dyDescent="0.3">
      <c r="A53" s="23" t="s">
        <v>425</v>
      </c>
      <c r="B53" s="23" t="s">
        <v>4</v>
      </c>
      <c r="C53" s="23" t="s">
        <v>4</v>
      </c>
      <c r="D53" s="23" t="s">
        <v>4</v>
      </c>
      <c r="E53" s="23" t="s">
        <v>4</v>
      </c>
      <c r="F53" s="23" t="s">
        <v>4</v>
      </c>
      <c r="G53" s="23" t="s">
        <v>4</v>
      </c>
      <c r="H53" s="23" t="s">
        <v>4</v>
      </c>
    </row>
    <row r="54" spans="1:8" x14ac:dyDescent="0.3">
      <c r="A54" s="7" t="s">
        <v>426</v>
      </c>
      <c r="B54" s="36">
        <f>B18</f>
        <v>1031077.2330810529</v>
      </c>
      <c r="C54" s="36">
        <f>C18</f>
        <v>1214729.5098214091</v>
      </c>
      <c r="D54" s="36">
        <f>D18</f>
        <v>1438153.4938333512</v>
      </c>
      <c r="E54" s="36">
        <f>E18</f>
        <v>1702671.6278006257</v>
      </c>
      <c r="F54" s="36">
        <f>F18</f>
        <v>2015842.3176303671</v>
      </c>
      <c r="G54" s="25" t="s">
        <v>427</v>
      </c>
    </row>
    <row r="55" spans="1:8" x14ac:dyDescent="0.3">
      <c r="A55" s="7" t="s">
        <v>428</v>
      </c>
      <c r="B55" s="36">
        <f>B63-B59</f>
        <v>74695.751929608174</v>
      </c>
      <c r="C55" s="36">
        <f>C63-C59</f>
        <v>87836.532698048977</v>
      </c>
      <c r="D55" s="36">
        <f>D63-D59</f>
        <v>107707.52726836677</v>
      </c>
      <c r="E55" s="36">
        <f>E63-E59</f>
        <v>128068.03105919971</v>
      </c>
      <c r="F55" s="36">
        <f>F63-F59</f>
        <v>152001.57227194856</v>
      </c>
      <c r="G55" s="25" t="s">
        <v>429</v>
      </c>
    </row>
    <row r="56" spans="1:8" x14ac:dyDescent="0.3">
      <c r="A56" s="4" t="s">
        <v>430</v>
      </c>
      <c r="B56" s="20">
        <f>B54+B55</f>
        <v>1105772.9850106612</v>
      </c>
      <c r="C56" s="20">
        <f>C54+C55</f>
        <v>1302566.0425194581</v>
      </c>
      <c r="D56" s="20">
        <f>D54+D55</f>
        <v>1545861.0211017178</v>
      </c>
      <c r="E56" s="20">
        <f>E54+E55</f>
        <v>1830739.6588598255</v>
      </c>
      <c r="F56" s="20">
        <f>F54+F55</f>
        <v>2167843.8899023156</v>
      </c>
      <c r="G56" s="25" t="s">
        <v>431</v>
      </c>
      <c r="H56" s="6" t="s">
        <v>432</v>
      </c>
    </row>
    <row r="58" spans="1:8" ht="18" customHeight="1" x14ac:dyDescent="0.3">
      <c r="A58" s="23" t="s">
        <v>433</v>
      </c>
      <c r="B58" s="23" t="s">
        <v>4</v>
      </c>
      <c r="C58" s="23" t="s">
        <v>4</v>
      </c>
      <c r="D58" s="23" t="s">
        <v>4</v>
      </c>
      <c r="E58" s="23" t="s">
        <v>4</v>
      </c>
      <c r="F58" s="23" t="s">
        <v>4</v>
      </c>
      <c r="G58" s="23" t="s">
        <v>4</v>
      </c>
      <c r="H58" s="23" t="s">
        <v>4</v>
      </c>
    </row>
    <row r="59" spans="1:8" x14ac:dyDescent="0.3">
      <c r="A59" s="7" t="s">
        <v>434</v>
      </c>
      <c r="B59" s="11">
        <v>496205</v>
      </c>
      <c r="C59" s="36">
        <f>B63</f>
        <v>570900.75192960817</v>
      </c>
      <c r="D59" s="36">
        <f>C63</f>
        <v>658737.28462765715</v>
      </c>
      <c r="E59" s="36">
        <f>D63</f>
        <v>766444.81189602392</v>
      </c>
      <c r="F59" s="36">
        <f>E63</f>
        <v>894512.84295522363</v>
      </c>
      <c r="G59" s="25" t="s">
        <v>363</v>
      </c>
    </row>
    <row r="60" spans="1:8" x14ac:dyDescent="0.3">
      <c r="A60" s="7" t="s">
        <v>435</v>
      </c>
      <c r="B60" s="36">
        <f>B56</f>
        <v>1105772.9850106612</v>
      </c>
      <c r="C60" s="36">
        <f>C56</f>
        <v>1302566.0425194581</v>
      </c>
      <c r="D60" s="36">
        <f>D56</f>
        <v>1545861.0211017178</v>
      </c>
      <c r="E60" s="36">
        <f>E56</f>
        <v>1830739.6588598255</v>
      </c>
      <c r="F60" s="36">
        <f>F56</f>
        <v>2167843.8899023156</v>
      </c>
      <c r="G60" s="25" t="s">
        <v>436</v>
      </c>
    </row>
    <row r="61" spans="1:8" x14ac:dyDescent="0.3">
      <c r="A61" s="7" t="s">
        <v>437</v>
      </c>
      <c r="B61" s="36">
        <f>B54</f>
        <v>1031077.2330810529</v>
      </c>
      <c r="C61" s="36">
        <f>C54</f>
        <v>1214729.5098214091</v>
      </c>
      <c r="D61" s="36">
        <f>D54</f>
        <v>1438153.4938333512</v>
      </c>
      <c r="E61" s="36">
        <f>E54</f>
        <v>1702671.6278006257</v>
      </c>
      <c r="F61" s="36">
        <f>F54</f>
        <v>2015842.3176303671</v>
      </c>
      <c r="G61" s="25" t="s">
        <v>273</v>
      </c>
    </row>
    <row r="62" spans="1:8" x14ac:dyDescent="0.3">
      <c r="A62" s="4" t="s">
        <v>438</v>
      </c>
      <c r="B62" s="20">
        <f>B59+B60-B61</f>
        <v>570900.75192960829</v>
      </c>
      <c r="C62" s="20">
        <f>C59+C60-C61</f>
        <v>658737.28462765715</v>
      </c>
      <c r="D62" s="20">
        <f>D59+D60-D61</f>
        <v>766444.81189602404</v>
      </c>
      <c r="E62" s="20">
        <f>E59+E60-E61</f>
        <v>894512.84295522375</v>
      </c>
      <c r="F62" s="20">
        <f>F59+F60-F61</f>
        <v>1046514.4152271722</v>
      </c>
      <c r="G62" s="25" t="s">
        <v>439</v>
      </c>
    </row>
    <row r="63" spans="1:8" x14ac:dyDescent="0.3">
      <c r="A63" s="4" t="s">
        <v>440</v>
      </c>
      <c r="B63" s="19">
        <f>Assumption_deferred_revenue_pct_revenue*B50</f>
        <v>570900.75192960817</v>
      </c>
      <c r="C63" s="19">
        <f>Assumption_deferred_revenue_pct_revenue*C50</f>
        <v>658737.28462765715</v>
      </c>
      <c r="D63" s="19">
        <f>Assumption_deferred_revenue_pct_revenue*D50</f>
        <v>766444.81189602392</v>
      </c>
      <c r="E63" s="19">
        <f>Assumption_deferred_revenue_pct_revenue*E50</f>
        <v>894512.84295522363</v>
      </c>
      <c r="F63" s="19">
        <f>Assumption_deferred_revenue_pct_revenue*F50</f>
        <v>1046514.4152271722</v>
      </c>
      <c r="G63" s="25" t="s">
        <v>441</v>
      </c>
      <c r="H63" s="6" t="s">
        <v>442</v>
      </c>
    </row>
    <row r="64" spans="1:8" ht="18" customHeight="1" x14ac:dyDescent="0.3">
      <c r="A64" s="23" t="s">
        <v>443</v>
      </c>
      <c r="B64" s="23" t="s">
        <v>4</v>
      </c>
      <c r="C64" s="23" t="s">
        <v>4</v>
      </c>
      <c r="D64" s="23" t="s">
        <v>4</v>
      </c>
      <c r="E64" s="23" t="s">
        <v>4</v>
      </c>
      <c r="F64" s="23" t="s">
        <v>4</v>
      </c>
      <c r="G64" s="23" t="s">
        <v>4</v>
      </c>
      <c r="H64" s="23" t="s">
        <v>4</v>
      </c>
    </row>
    <row r="65" spans="1:6" x14ac:dyDescent="0.3">
      <c r="A65" s="4" t="s">
        <v>444</v>
      </c>
      <c r="B65" s="37" t="str">
        <f>IF(ABS(B62-B63)&lt;=Tolerance_USD,"OK","BREAK")</f>
        <v>OK</v>
      </c>
      <c r="C65" s="37" t="str">
        <f>IF(ABS(C62-C63)&lt;=Tolerance_USD,"OK","BREAK")</f>
        <v>OK</v>
      </c>
      <c r="D65" s="37" t="str">
        <f>IF(ABS(D62-D63)&lt;=Tolerance_USD,"OK","BREAK")</f>
        <v>OK</v>
      </c>
      <c r="E65" s="37" t="str">
        <f>IF(ABS(E62-E63)&lt;=Tolerance_USD,"OK","BREAK")</f>
        <v>OK</v>
      </c>
      <c r="F65" s="37" t="str">
        <f>IF(ABS(F62-F63)&lt;=Tolerance_USD,"OK","BREAK")</f>
        <v>OK</v>
      </c>
    </row>
    <row r="66" spans="1:6" x14ac:dyDescent="0.3">
      <c r="A66" s="4" t="s">
        <v>445</v>
      </c>
      <c r="B66" s="37" t="str">
        <f>IF(ABS(B50-1193853.51720955)&lt;=Tolerance_USD,"OK","BREAK")</f>
        <v>OK</v>
      </c>
      <c r="C66" s="37" t="str">
        <f>IF(ABS(C50-1377535.09959777)&lt;=Tolerance_USD,"OK","BREAK")</f>
        <v>OK</v>
      </c>
      <c r="D66" s="37" t="str">
        <f>IF(ABS(D50-1602770.41383526)&lt;=Tolerance_USD,"OK","BREAK")</f>
        <v>OK</v>
      </c>
      <c r="E66" s="37" t="str">
        <f>IF(ABS(E50-1870583.10948394)&lt;=Tolerance_USD,"OK","BREAK")</f>
        <v>OK</v>
      </c>
      <c r="F66" s="37" t="str">
        <f>IF(ABS(F50-2188445.03393386)&lt;=Tolerance_USD,"OK","BREAK")</f>
        <v>OK</v>
      </c>
    </row>
  </sheetData>
  <sheetProtection sheet="1"/>
  <mergeCells count="3">
    <mergeCell ref="A1:L1"/>
    <mergeCell ref="A2:L2"/>
    <mergeCell ref="A3:H3"/>
  </mergeCells>
  <conditionalFormatting sqref="B20:F20">
    <cfRule type="expression" dxfId="73" priority="1">
      <formula>B20="OK"</formula>
    </cfRule>
    <cfRule type="expression" dxfId="72" priority="2">
      <formula>B20="BREAK"</formula>
    </cfRule>
  </conditionalFormatting>
  <conditionalFormatting sqref="B27:F27">
    <cfRule type="expression" dxfId="71" priority="3">
      <formula>B27="OK"</formula>
    </cfRule>
    <cfRule type="expression" dxfId="70" priority="4">
      <formula>B27="BREAK"</formula>
    </cfRule>
  </conditionalFormatting>
  <conditionalFormatting sqref="B34:F34">
    <cfRule type="expression" dxfId="69" priority="5">
      <formula>B34="OK"</formula>
    </cfRule>
    <cfRule type="expression" dxfId="68" priority="6">
      <formula>B34="BREAK"</formula>
    </cfRule>
  </conditionalFormatting>
  <conditionalFormatting sqref="B41:F41">
    <cfRule type="expression" dxfId="67" priority="7">
      <formula>B41="OK"</formula>
    </cfRule>
    <cfRule type="expression" dxfId="66" priority="8">
      <formula>B41="BREAK"</formula>
    </cfRule>
  </conditionalFormatting>
  <conditionalFormatting sqref="B48:F48">
    <cfRule type="expression" dxfId="65" priority="9">
      <formula>B48="OK"</formula>
    </cfRule>
    <cfRule type="expression" dxfId="64" priority="10">
      <formula>B48="BREAK"</formula>
    </cfRule>
  </conditionalFormatting>
  <conditionalFormatting sqref="B65:F66">
    <cfRule type="expression" dxfId="63" priority="11">
      <formula>B65="OK"</formula>
    </cfRule>
    <cfRule type="expression" dxfId="62" priority="12">
      <formula>B65="BREAK"</formula>
    </cfRule>
  </conditionalFormatting>
  <pageMargins left="0.7" right="0.7" top="0.75" bottom="0.75" header="0.3" footer="0.3"/>
  <pageSetup fitToHeight="0" orientation="landscape"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563EB"/>
    <pageSetUpPr fitToPage="1"/>
  </sheetPr>
  <dimension ref="A1:L45"/>
  <sheetViews>
    <sheetView workbookViewId="0">
      <pane xSplit="1" ySplit="4" topLeftCell="B5" activePane="bottomRight" state="frozen"/>
      <selection pane="topRight"/>
      <selection pane="bottomLeft"/>
      <selection pane="bottomRight" sqref="A1:L1"/>
    </sheetView>
  </sheetViews>
  <sheetFormatPr defaultRowHeight="14.4" x14ac:dyDescent="0.3"/>
  <cols>
    <col min="1" max="1" width="88" customWidth="1"/>
    <col min="2" max="6" width="18" customWidth="1"/>
    <col min="7" max="7" width="52" customWidth="1"/>
    <col min="8" max="8" width="65" customWidth="1"/>
  </cols>
  <sheetData>
    <row r="1" spans="1:12" ht="22.05" customHeight="1" x14ac:dyDescent="0.4">
      <c r="A1" s="78" t="s">
        <v>446</v>
      </c>
      <c r="B1" s="78"/>
      <c r="C1" s="78"/>
      <c r="D1" s="78"/>
      <c r="E1" s="78"/>
      <c r="F1" s="78"/>
      <c r="G1" s="78"/>
      <c r="H1" s="78"/>
      <c r="I1" s="78"/>
      <c r="J1" s="78"/>
      <c r="K1" s="78"/>
      <c r="L1" s="78"/>
    </row>
    <row r="2" spans="1:12" ht="16.05" customHeight="1" x14ac:dyDescent="0.3">
      <c r="A2" s="79" t="s">
        <v>447</v>
      </c>
      <c r="B2" s="79"/>
      <c r="C2" s="79"/>
      <c r="D2" s="79"/>
      <c r="E2" s="79"/>
      <c r="F2" s="79"/>
      <c r="G2" s="79"/>
      <c r="H2" s="79"/>
      <c r="I2" s="79"/>
      <c r="J2" s="79"/>
      <c r="K2" s="79"/>
      <c r="L2" s="79"/>
    </row>
    <row r="3" spans="1:12" x14ac:dyDescent="0.3">
      <c r="A3" s="79" t="s">
        <v>448</v>
      </c>
      <c r="B3" s="79"/>
      <c r="C3" s="79"/>
      <c r="D3" s="79"/>
      <c r="E3" s="79"/>
      <c r="F3" s="79"/>
      <c r="G3" s="79"/>
      <c r="H3" s="79"/>
    </row>
    <row r="4" spans="1:12" ht="19.95" customHeight="1" x14ac:dyDescent="0.3">
      <c r="A4" s="2" t="s">
        <v>356</v>
      </c>
      <c r="B4" s="3" t="s">
        <v>209</v>
      </c>
      <c r="C4" s="3" t="s">
        <v>357</v>
      </c>
      <c r="D4" s="3" t="s">
        <v>358</v>
      </c>
      <c r="E4" s="3" t="s">
        <v>359</v>
      </c>
      <c r="F4" s="3" t="s">
        <v>212</v>
      </c>
      <c r="G4" s="3" t="s">
        <v>360</v>
      </c>
      <c r="H4" s="3" t="s">
        <v>103</v>
      </c>
    </row>
    <row r="5" spans="1:12" ht="18" customHeight="1" x14ac:dyDescent="0.3">
      <c r="A5" s="23" t="s">
        <v>449</v>
      </c>
      <c r="B5" s="23" t="s">
        <v>4</v>
      </c>
      <c r="C5" s="23" t="s">
        <v>4</v>
      </c>
      <c r="D5" s="23" t="s">
        <v>4</v>
      </c>
      <c r="E5" s="23" t="s">
        <v>4</v>
      </c>
      <c r="F5" s="23" t="s">
        <v>4</v>
      </c>
      <c r="G5" s="23" t="s">
        <v>4</v>
      </c>
      <c r="H5" s="23" t="s">
        <v>4</v>
      </c>
    </row>
    <row r="6" spans="1:12" x14ac:dyDescent="0.3">
      <c r="A6" s="42" t="s">
        <v>450</v>
      </c>
      <c r="B6" s="11">
        <v>160585</v>
      </c>
      <c r="C6" s="44" t="s">
        <v>274</v>
      </c>
      <c r="D6" s="44" t="s">
        <v>274</v>
      </c>
      <c r="E6" s="44" t="s">
        <v>274</v>
      </c>
      <c r="F6" s="44" t="s">
        <v>274</v>
      </c>
      <c r="G6" s="25" t="s">
        <v>379</v>
      </c>
      <c r="H6" s="6" t="s">
        <v>451</v>
      </c>
    </row>
    <row r="7" spans="1:12" x14ac:dyDescent="0.3">
      <c r="A7" s="42" t="s">
        <v>452</v>
      </c>
      <c r="B7" s="11">
        <v>175169</v>
      </c>
      <c r="C7" s="44" t="s">
        <v>274</v>
      </c>
      <c r="D7" s="44" t="s">
        <v>274</v>
      </c>
      <c r="E7" s="44" t="s">
        <v>274</v>
      </c>
      <c r="F7" s="44" t="s">
        <v>274</v>
      </c>
      <c r="G7" s="25" t="s">
        <v>379</v>
      </c>
      <c r="H7" s="6" t="s">
        <v>453</v>
      </c>
    </row>
    <row r="8" spans="1:12" x14ac:dyDescent="0.3">
      <c r="A8" s="42" t="s">
        <v>454</v>
      </c>
      <c r="B8" s="11">
        <v>79256</v>
      </c>
      <c r="C8" s="44" t="s">
        <v>274</v>
      </c>
      <c r="D8" s="44" t="s">
        <v>274</v>
      </c>
      <c r="E8" s="44" t="s">
        <v>274</v>
      </c>
      <c r="F8" s="44" t="s">
        <v>274</v>
      </c>
      <c r="G8" s="25" t="s">
        <v>379</v>
      </c>
      <c r="H8" s="6" t="s">
        <v>455</v>
      </c>
    </row>
    <row r="9" spans="1:12" x14ac:dyDescent="0.3">
      <c r="A9" s="42" t="s">
        <v>456</v>
      </c>
      <c r="B9" s="11">
        <v>96939</v>
      </c>
      <c r="C9" s="44" t="s">
        <v>274</v>
      </c>
      <c r="D9" s="44" t="s">
        <v>274</v>
      </c>
      <c r="E9" s="44" t="s">
        <v>274</v>
      </c>
      <c r="F9" s="44" t="s">
        <v>274</v>
      </c>
      <c r="G9" s="25" t="s">
        <v>379</v>
      </c>
      <c r="H9" s="6" t="s">
        <v>457</v>
      </c>
    </row>
    <row r="10" spans="1:12" x14ac:dyDescent="0.3">
      <c r="A10" s="42" t="s">
        <v>458</v>
      </c>
      <c r="B10" s="11">
        <v>-1196</v>
      </c>
      <c r="C10" s="44" t="s">
        <v>274</v>
      </c>
      <c r="D10" s="44" t="s">
        <v>274</v>
      </c>
      <c r="E10" s="44" t="s">
        <v>274</v>
      </c>
      <c r="F10" s="44" t="s">
        <v>274</v>
      </c>
      <c r="G10" s="25" t="s">
        <v>379</v>
      </c>
      <c r="H10" s="6" t="s">
        <v>459</v>
      </c>
    </row>
    <row r="11" spans="1:12" x14ac:dyDescent="0.3">
      <c r="A11" s="42" t="s">
        <v>460</v>
      </c>
      <c r="B11" s="11">
        <v>590421</v>
      </c>
      <c r="C11" s="44" t="s">
        <v>274</v>
      </c>
      <c r="D11" s="44" t="s">
        <v>274</v>
      </c>
      <c r="E11" s="44" t="s">
        <v>274</v>
      </c>
      <c r="F11" s="44" t="s">
        <v>274</v>
      </c>
      <c r="G11" s="25" t="s">
        <v>379</v>
      </c>
      <c r="H11" s="6" t="s">
        <v>461</v>
      </c>
    </row>
    <row r="13" spans="1:12" ht="18" customHeight="1" x14ac:dyDescent="0.3">
      <c r="A13" s="23" t="s">
        <v>462</v>
      </c>
      <c r="B13" s="23" t="s">
        <v>4</v>
      </c>
      <c r="C13" s="23" t="s">
        <v>4</v>
      </c>
      <c r="D13" s="23" t="s">
        <v>4</v>
      </c>
      <c r="E13" s="23" t="s">
        <v>4</v>
      </c>
      <c r="F13" s="23" t="s">
        <v>4</v>
      </c>
      <c r="G13" s="23" t="s">
        <v>4</v>
      </c>
      <c r="H13" s="23" t="s">
        <v>4</v>
      </c>
    </row>
    <row r="14" spans="1:12" x14ac:dyDescent="0.3">
      <c r="A14" s="4" t="s">
        <v>281</v>
      </c>
      <c r="B14" s="36">
        <f>B6+Assumption_cost_of_revenue_pct_revenue*(RevTotal_FY2026-B11)</f>
        <v>328154.5894339896</v>
      </c>
      <c r="C14" s="19">
        <f>Assumption_cost_of_revenue_pct_revenue*RevTotal_FY2027</f>
        <v>382533.23194770515</v>
      </c>
      <c r="D14" s="19">
        <f>Assumption_cost_of_revenue_pct_revenue*RevTotal_FY2028</f>
        <v>445079.72729957022</v>
      </c>
      <c r="E14" s="19">
        <f>Assumption_cost_of_revenue_pct_revenue*RevTotal_FY2029</f>
        <v>519449.70600503526</v>
      </c>
      <c r="F14" s="19">
        <f>Assumption_cost_of_revenue_pct_revenue*RevTotal_FY2030</f>
        <v>607718.05525322945</v>
      </c>
      <c r="G14" s="25" t="s">
        <v>463</v>
      </c>
      <c r="H14" s="6" t="s">
        <v>464</v>
      </c>
    </row>
    <row r="15" spans="1:12" x14ac:dyDescent="0.3">
      <c r="A15" s="7" t="s">
        <v>465</v>
      </c>
      <c r="B15" s="41">
        <f>B14/RevTotal_FY2026</f>
        <v>0.27487006127937702</v>
      </c>
      <c r="C15" s="43">
        <f>C14/RevTotal_FY2027</f>
        <v>0.277694</v>
      </c>
      <c r="D15" s="43">
        <f>D14/RevTotal_FY2028</f>
        <v>0.277694</v>
      </c>
      <c r="E15" s="43">
        <f>E14/RevTotal_FY2029</f>
        <v>0.277694</v>
      </c>
      <c r="F15" s="43">
        <f>F14/RevTotal_FY2030</f>
        <v>0.277694</v>
      </c>
      <c r="G15" s="25" t="s">
        <v>466</v>
      </c>
    </row>
    <row r="16" spans="1:12" x14ac:dyDescent="0.3">
      <c r="A16" s="4" t="s">
        <v>282</v>
      </c>
      <c r="B16" s="20">
        <f>RevTotal_FY2026-B14</f>
        <v>865698.92777556332</v>
      </c>
      <c r="C16" s="19">
        <f>RevTotal_FY2027-C14</f>
        <v>995001.86765007209</v>
      </c>
      <c r="D16" s="19">
        <f>RevTotal_FY2028-D14</f>
        <v>1157690.6865356951</v>
      </c>
      <c r="E16" s="19">
        <f>RevTotal_FY2029-E14</f>
        <v>1351133.4034789121</v>
      </c>
      <c r="F16" s="19">
        <f>RevTotal_FY2030-F14</f>
        <v>1580726.9786806311</v>
      </c>
      <c r="G16" s="25" t="s">
        <v>467</v>
      </c>
      <c r="H16" s="6" t="s">
        <v>468</v>
      </c>
    </row>
    <row r="17" spans="1:8" x14ac:dyDescent="0.3">
      <c r="A17" s="4" t="s">
        <v>469</v>
      </c>
      <c r="B17" s="77">
        <f>IF(RevTotal_FY2026=0,"",B16/RevTotal_FY2026)</f>
        <v>0.72512993872062292</v>
      </c>
      <c r="C17" s="46">
        <f>IF(RevTotal_FY2027=0,"",C16/RevTotal_FY2027)</f>
        <v>0.722306</v>
      </c>
      <c r="D17" s="46">
        <f>IF(RevTotal_FY2028=0,"",D16/RevTotal_FY2028)</f>
        <v>0.72230599999999989</v>
      </c>
      <c r="E17" s="46">
        <f>IF(RevTotal_FY2029=0,"",E16/RevTotal_FY2029)</f>
        <v>0.722306</v>
      </c>
      <c r="F17" s="46">
        <f>IF(RevTotal_FY2030=0,"",F16/RevTotal_FY2030)</f>
        <v>0.722306</v>
      </c>
      <c r="G17" s="25" t="s">
        <v>470</v>
      </c>
    </row>
    <row r="19" spans="1:8" ht="18" customHeight="1" x14ac:dyDescent="0.3">
      <c r="A19" s="23" t="s">
        <v>471</v>
      </c>
      <c r="B19" s="23" t="s">
        <v>4</v>
      </c>
      <c r="C19" s="23" t="s">
        <v>4</v>
      </c>
      <c r="D19" s="23" t="s">
        <v>4</v>
      </c>
      <c r="E19" s="23" t="s">
        <v>4</v>
      </c>
      <c r="F19" s="23" t="s">
        <v>4</v>
      </c>
      <c r="G19" s="23" t="s">
        <v>4</v>
      </c>
      <c r="H19" s="23" t="s">
        <v>4</v>
      </c>
    </row>
    <row r="20" spans="1:8" x14ac:dyDescent="0.3">
      <c r="A20" s="7" t="s">
        <v>472</v>
      </c>
      <c r="B20" s="47">
        <f>B7+Assumption_rd_pct_revenue*(RevTotal_FY2026-B11)</f>
        <v>353317.96832570748</v>
      </c>
      <c r="C20" s="47">
        <f>Assumption_rd_pct_revenue*RevTotal_FY2027</f>
        <v>406684.17731385335</v>
      </c>
      <c r="D20" s="47">
        <f>Assumption_rd_pct_revenue*RevTotal_FY2028</f>
        <v>473179.49819493009</v>
      </c>
      <c r="E20" s="47">
        <f>Assumption_rd_pct_revenue*RevTotal_FY2029</f>
        <v>552244.7690805078</v>
      </c>
      <c r="F20" s="47">
        <f>Assumption_rd_pct_revenue*RevTotal_FY2030</f>
        <v>646085.87358815793</v>
      </c>
      <c r="G20" s="25" t="s">
        <v>473</v>
      </c>
      <c r="H20" s="6" t="s">
        <v>474</v>
      </c>
    </row>
    <row r="21" spans="1:8" x14ac:dyDescent="0.3">
      <c r="A21" s="42" t="s">
        <v>475</v>
      </c>
      <c r="B21" s="41">
        <f>B20/RevTotal_FY2026</f>
        <v>0.29594750380392842</v>
      </c>
      <c r="C21" s="43">
        <f>C20/RevTotal_FY2027</f>
        <v>0.29522599999999999</v>
      </c>
      <c r="D21" s="43">
        <f>D20/RevTotal_FY2028</f>
        <v>0.29522599999999999</v>
      </c>
      <c r="E21" s="43">
        <f>E20/RevTotal_FY2029</f>
        <v>0.29522599999999999</v>
      </c>
      <c r="F21" s="43">
        <f>F20/RevTotal_FY2030</f>
        <v>0.29522599999999999</v>
      </c>
    </row>
    <row r="22" spans="1:8" x14ac:dyDescent="0.3">
      <c r="A22" s="7" t="s">
        <v>476</v>
      </c>
      <c r="B22" s="47">
        <f>B8+Assumption_sm_pct_revenue*(RevTotal_FY2026-B11)</f>
        <v>152346.16021448988</v>
      </c>
      <c r="C22" s="47">
        <f>Assumption_sm_pct_revenue*RevTotal_FY2027</f>
        <v>166852.56140368117</v>
      </c>
      <c r="D22" s="47">
        <f>Assumption_sm_pct_revenue*RevTotal_FY2028</f>
        <v>194133.96360538268</v>
      </c>
      <c r="E22" s="47">
        <f>Assumption_sm_pct_revenue*RevTotal_FY2029</f>
        <v>226572.50855313361</v>
      </c>
      <c r="F22" s="47">
        <f>Assumption_sm_pct_revenue*RevTotal_FY2030</f>
        <v>265073.21629020496</v>
      </c>
      <c r="G22" s="25" t="s">
        <v>477</v>
      </c>
      <c r="H22" s="6" t="s">
        <v>478</v>
      </c>
    </row>
    <row r="23" spans="1:8" x14ac:dyDescent="0.3">
      <c r="A23" s="42" t="s">
        <v>479</v>
      </c>
      <c r="B23" s="41">
        <f>B22/RevTotal_FY2026</f>
        <v>0.12760875435587388</v>
      </c>
      <c r="C23" s="43">
        <f>C22/RevTotal_FY2027</f>
        <v>0.12112400000000001</v>
      </c>
      <c r="D23" s="43">
        <f>D22/RevTotal_FY2028</f>
        <v>0.121124</v>
      </c>
      <c r="E23" s="43">
        <f>E22/RevTotal_FY2029</f>
        <v>0.12112399999999998</v>
      </c>
      <c r="F23" s="43">
        <f>F22/RevTotal_FY2030</f>
        <v>0.12112400000000001</v>
      </c>
    </row>
    <row r="24" spans="1:8" x14ac:dyDescent="0.3">
      <c r="A24" s="7" t="s">
        <v>480</v>
      </c>
      <c r="B24" s="47">
        <f>B9+Assumption_ga_pct_revenue*(RevTotal_FY2026-B11)</f>
        <v>202719.51340180021</v>
      </c>
      <c r="C24" s="47">
        <f>Assumption_ga_pct_revenue*RevTotal_FY2027</f>
        <v>241479.14788929117</v>
      </c>
      <c r="D24" s="47">
        <f>Assumption_ga_pct_revenue*RevTotal_FY2028</f>
        <v>280962.44800449436</v>
      </c>
      <c r="E24" s="47">
        <f>Assumption_ga_pct_revenue*RevTotal_FY2029</f>
        <v>327909.47792631702</v>
      </c>
      <c r="F24" s="47">
        <f>Assumption_ga_pct_revenue*RevTotal_FY2030</f>
        <v>383630.03755853791</v>
      </c>
      <c r="G24" s="25" t="s">
        <v>481</v>
      </c>
      <c r="H24" s="6" t="s">
        <v>482</v>
      </c>
    </row>
    <row r="25" spans="1:8" x14ac:dyDescent="0.3">
      <c r="A25" s="42" t="s">
        <v>483</v>
      </c>
      <c r="B25" s="41">
        <f>B24/RevTotal_FY2026</f>
        <v>0.16980266881955969</v>
      </c>
      <c r="C25" s="43">
        <f>C24/RevTotal_FY2027</f>
        <v>0.17529800000000001</v>
      </c>
      <c r="D25" s="43">
        <f>D24/RevTotal_FY2028</f>
        <v>0.17529800000000001</v>
      </c>
      <c r="E25" s="43">
        <f>E24/RevTotal_FY2029</f>
        <v>0.17529800000000001</v>
      </c>
      <c r="F25" s="43">
        <f>F24/RevTotal_FY2030</f>
        <v>0.17529800000000001</v>
      </c>
    </row>
    <row r="26" spans="1:8" x14ac:dyDescent="0.3">
      <c r="A26" s="4" t="s">
        <v>286</v>
      </c>
      <c r="B26" s="20">
        <f>B20+B22+B24</f>
        <v>708383.64194199757</v>
      </c>
      <c r="C26" s="20">
        <f>C20+C22+C24</f>
        <v>815015.88660682575</v>
      </c>
      <c r="D26" s="20">
        <f>D20+D22+D24</f>
        <v>948275.90980480704</v>
      </c>
      <c r="E26" s="20">
        <f>E20+E22+E24</f>
        <v>1106726.7555599585</v>
      </c>
      <c r="F26" s="20">
        <f>F20+F22+F24</f>
        <v>1294789.1274369007</v>
      </c>
      <c r="G26" s="25" t="s">
        <v>484</v>
      </c>
      <c r="H26" s="6" t="s">
        <v>485</v>
      </c>
    </row>
    <row r="27" spans="1:8" x14ac:dyDescent="0.3">
      <c r="A27" s="7" t="s">
        <v>486</v>
      </c>
      <c r="B27" s="41">
        <f>B26/RevTotal_FY2026</f>
        <v>0.59335892697936199</v>
      </c>
      <c r="C27" s="43">
        <f>C26/RevTotal_FY2027</f>
        <v>0.59164800000000006</v>
      </c>
      <c r="D27" s="43">
        <f>D26/RevTotal_FY2028</f>
        <v>0.59164799999999995</v>
      </c>
      <c r="E27" s="43">
        <f>E26/RevTotal_FY2029</f>
        <v>0.59164800000000006</v>
      </c>
      <c r="F27" s="43">
        <f>F26/RevTotal_FY2030</f>
        <v>0.59164799999999995</v>
      </c>
    </row>
    <row r="28" spans="1:8" x14ac:dyDescent="0.3">
      <c r="A28" s="4" t="s">
        <v>487</v>
      </c>
      <c r="B28" s="20">
        <f>B16-B26</f>
        <v>157315.28583356575</v>
      </c>
      <c r="C28" s="20">
        <f>C16-C26</f>
        <v>179985.98104324634</v>
      </c>
      <c r="D28" s="20">
        <f>D16-D26</f>
        <v>209414.77673088806</v>
      </c>
      <c r="E28" s="20">
        <f>E16-E26</f>
        <v>244406.64791895356</v>
      </c>
      <c r="F28" s="20">
        <f>F16-F26</f>
        <v>285937.8512437304</v>
      </c>
      <c r="G28" s="25" t="s">
        <v>488</v>
      </c>
      <c r="H28" s="6" t="s">
        <v>489</v>
      </c>
    </row>
    <row r="29" spans="1:8" x14ac:dyDescent="0.3">
      <c r="A29" s="4" t="s">
        <v>490</v>
      </c>
      <c r="B29" s="77">
        <f>IF(RevTotal_FY2026=0,"",B28/RevTotal_FY2026)</f>
        <v>0.13177101174126102</v>
      </c>
      <c r="C29" s="46">
        <f>IF(RevTotal_FY2027=0,"",C28/RevTotal_FY2027)</f>
        <v>0.13065799999999997</v>
      </c>
      <c r="D29" s="46">
        <f>IF(RevTotal_FY2028=0,"",D28/RevTotal_FY2028)</f>
        <v>0.13065799999999997</v>
      </c>
      <c r="E29" s="46">
        <f>IF(RevTotal_FY2029=0,"",E28/RevTotal_FY2029)</f>
        <v>0.130658</v>
      </c>
      <c r="F29" s="46">
        <f>IF(RevTotal_FY2030=0,"",F28/RevTotal_FY2030)</f>
        <v>0.13065800000000002</v>
      </c>
      <c r="G29" s="25" t="s">
        <v>491</v>
      </c>
    </row>
    <row r="30" spans="1:8" x14ac:dyDescent="0.3">
      <c r="A30" s="7" t="s">
        <v>492</v>
      </c>
      <c r="B30" s="47">
        <f>B10+Assumption_other_income_net_pct_revenue*(RevTotal_FY2026-B11)</f>
        <v>-260.07616580798333</v>
      </c>
      <c r="C30" s="47">
        <f>Assumption_other_income_net_pct_revenue*RevTotal_FY2027</f>
        <v>2136.5569394761528</v>
      </c>
      <c r="D30" s="47">
        <f>Assumption_other_income_net_pct_revenue*RevTotal_FY2028</f>
        <v>2485.8969118584969</v>
      </c>
      <c r="E30" s="47">
        <f>Assumption_other_income_net_pct_revenue*RevTotal_FY2029</f>
        <v>2901.2744028096022</v>
      </c>
      <c r="F30" s="47">
        <f>Assumption_other_income_net_pct_revenue*RevTotal_FY2030</f>
        <v>3394.2782476314183</v>
      </c>
      <c r="G30" s="25" t="s">
        <v>493</v>
      </c>
      <c r="H30" s="6" t="s">
        <v>494</v>
      </c>
    </row>
    <row r="31" spans="1:8" x14ac:dyDescent="0.3">
      <c r="A31" s="42" t="s">
        <v>495</v>
      </c>
      <c r="B31" s="44" t="s">
        <v>274</v>
      </c>
      <c r="C31" s="44" t="s">
        <v>274</v>
      </c>
      <c r="D31" s="44" t="s">
        <v>274</v>
      </c>
      <c r="E31" s="44" t="s">
        <v>274</v>
      </c>
      <c r="F31" s="44" t="s">
        <v>274</v>
      </c>
      <c r="G31" s="25" t="s">
        <v>496</v>
      </c>
      <c r="H31" s="6" t="s">
        <v>497</v>
      </c>
    </row>
    <row r="33" spans="1:8" ht="18" customHeight="1" x14ac:dyDescent="0.3">
      <c r="A33" s="23" t="s">
        <v>498</v>
      </c>
      <c r="B33" s="23" t="s">
        <v>4</v>
      </c>
      <c r="C33" s="23" t="s">
        <v>4</v>
      </c>
      <c r="D33" s="23" t="s">
        <v>4</v>
      </c>
      <c r="E33" s="23" t="s">
        <v>4</v>
      </c>
      <c r="F33" s="23" t="s">
        <v>4</v>
      </c>
      <c r="G33" s="23" t="s">
        <v>4</v>
      </c>
      <c r="H33" s="23" t="s">
        <v>4</v>
      </c>
    </row>
    <row r="34" spans="1:8" x14ac:dyDescent="0.3">
      <c r="A34" s="4" t="s">
        <v>499</v>
      </c>
      <c r="B34" s="19">
        <f>SBC_FY2026</f>
        <v>158185.59103026576</v>
      </c>
      <c r="C34" s="19">
        <f>SBC_FY2027</f>
        <v>182523.4006967055</v>
      </c>
      <c r="D34" s="19">
        <f>SBC_FY2028</f>
        <v>212367.07983317267</v>
      </c>
      <c r="E34" s="19">
        <f>SBC_FY2029</f>
        <v>247852.26200662303</v>
      </c>
      <c r="F34" s="19">
        <f>SBC_FY2030</f>
        <v>289968.96699623659</v>
      </c>
      <c r="G34" s="25" t="s">
        <v>500</v>
      </c>
      <c r="H34" s="6" t="s">
        <v>501</v>
      </c>
    </row>
    <row r="35" spans="1:8" x14ac:dyDescent="0.3">
      <c r="A35" s="7" t="s">
        <v>502</v>
      </c>
      <c r="B35" s="43">
        <f>B34/RevTotal_FY2026</f>
        <v>0.13250000000000001</v>
      </c>
      <c r="C35" s="43">
        <f>C34/RevTotal_FY2027</f>
        <v>0.13250000000000001</v>
      </c>
      <c r="D35" s="43">
        <f>D34/RevTotal_FY2028</f>
        <v>0.13250000000000001</v>
      </c>
      <c r="E35" s="43">
        <f>E34/RevTotal_FY2029</f>
        <v>0.13250000000000001</v>
      </c>
      <c r="F35" s="43">
        <f>F34/RevTotal_FY2030</f>
        <v>0.13250000000000001</v>
      </c>
    </row>
    <row r="36" spans="1:8" x14ac:dyDescent="0.3">
      <c r="A36" s="42" t="s">
        <v>503</v>
      </c>
      <c r="B36" s="36">
        <f>ROUND(B34*0.02,0)</f>
        <v>3164</v>
      </c>
      <c r="C36" s="36">
        <f>ROUND(C34*0.02,0)</f>
        <v>3650</v>
      </c>
      <c r="D36" s="36">
        <f>ROUND(D34*0.02,0)</f>
        <v>4247</v>
      </c>
      <c r="E36" s="36">
        <f>ROUND(E34*0.02,0)</f>
        <v>4957</v>
      </c>
      <c r="F36" s="36">
        <f>ROUND(F34*0.02,0)</f>
        <v>5799</v>
      </c>
      <c r="G36" s="25" t="s">
        <v>504</v>
      </c>
      <c r="H36" s="6" t="s">
        <v>505</v>
      </c>
    </row>
    <row r="37" spans="1:8" x14ac:dyDescent="0.3">
      <c r="A37" s="42" t="s">
        <v>506</v>
      </c>
      <c r="B37" s="36">
        <f>ROUND(B34*0.68,0)</f>
        <v>107566</v>
      </c>
      <c r="C37" s="36">
        <f>ROUND(C34*0.68,0)</f>
        <v>124116</v>
      </c>
      <c r="D37" s="36">
        <f>ROUND(D34*0.68,0)</f>
        <v>144410</v>
      </c>
      <c r="E37" s="36">
        <f>ROUND(E34*0.68,0)</f>
        <v>168540</v>
      </c>
      <c r="F37" s="36">
        <f>ROUND(F34*0.68,0)</f>
        <v>197179</v>
      </c>
      <c r="G37" s="25" t="s">
        <v>507</v>
      </c>
      <c r="H37" s="6" t="s">
        <v>508</v>
      </c>
    </row>
    <row r="38" spans="1:8" x14ac:dyDescent="0.3">
      <c r="A38" s="42" t="s">
        <v>509</v>
      </c>
      <c r="B38" s="36">
        <f>ROUND(B34*0.12,0)</f>
        <v>18982</v>
      </c>
      <c r="C38" s="36">
        <f>ROUND(C34*0.12,0)</f>
        <v>21903</v>
      </c>
      <c r="D38" s="36">
        <f>ROUND(D34*0.12,0)</f>
        <v>25484</v>
      </c>
      <c r="E38" s="36">
        <f>ROUND(E34*0.12,0)</f>
        <v>29742</v>
      </c>
      <c r="F38" s="36">
        <f>ROUND(F34*0.12,0)</f>
        <v>34796</v>
      </c>
      <c r="G38" s="25" t="s">
        <v>510</v>
      </c>
      <c r="H38" s="6" t="s">
        <v>511</v>
      </c>
    </row>
    <row r="39" spans="1:8" x14ac:dyDescent="0.3">
      <c r="A39" s="42" t="s">
        <v>512</v>
      </c>
      <c r="B39" s="36">
        <f>ROUND(B34*0.18,0)</f>
        <v>28473</v>
      </c>
      <c r="C39" s="36">
        <f>ROUND(C34*0.18,0)</f>
        <v>32854</v>
      </c>
      <c r="D39" s="36">
        <f>ROUND(D34*0.18,0)</f>
        <v>38226</v>
      </c>
      <c r="E39" s="36">
        <f>ROUND(E34*0.18,0)</f>
        <v>44613</v>
      </c>
      <c r="F39" s="36">
        <f>ROUND(F34*0.18,0)</f>
        <v>52194</v>
      </c>
      <c r="G39" s="25" t="s">
        <v>513</v>
      </c>
      <c r="H39" s="6" t="s">
        <v>514</v>
      </c>
    </row>
    <row r="41" spans="1:8" ht="18" customHeight="1" x14ac:dyDescent="0.3">
      <c r="A41" s="23" t="s">
        <v>443</v>
      </c>
      <c r="B41" s="23" t="s">
        <v>4</v>
      </c>
      <c r="C41" s="23" t="s">
        <v>4</v>
      </c>
      <c r="D41" s="23" t="s">
        <v>4</v>
      </c>
      <c r="E41" s="23" t="s">
        <v>4</v>
      </c>
      <c r="F41" s="23" t="s">
        <v>4</v>
      </c>
      <c r="G41" s="23" t="s">
        <v>4</v>
      </c>
      <c r="H41" s="23" t="s">
        <v>4</v>
      </c>
    </row>
    <row r="42" spans="1:8" x14ac:dyDescent="0.3">
      <c r="A42" s="4" t="s">
        <v>515</v>
      </c>
      <c r="B42" s="37" t="str">
        <f>IF(ABS(B16-(RevTotal_FY2026-B14))&lt;=Tolerance_USD,"OK","BREAK")</f>
        <v>OK</v>
      </c>
      <c r="C42" s="37" t="str">
        <f>IF(ABS(C16-(RevTotal_FY2027-C14))&lt;=Tolerance_USD,"OK","BREAK")</f>
        <v>OK</v>
      </c>
      <c r="D42" s="37" t="str">
        <f>IF(ABS(D16-(RevTotal_FY2028-D14))&lt;=Tolerance_USD,"OK","BREAK")</f>
        <v>OK</v>
      </c>
      <c r="E42" s="37" t="str">
        <f>IF(ABS(E16-(RevTotal_FY2029-E14))&lt;=Tolerance_USD,"OK","BREAK")</f>
        <v>OK</v>
      </c>
      <c r="F42" s="37" t="str">
        <f>IF(ABS(F16-(RevTotal_FY2030-F14))&lt;=Tolerance_USD,"OK","BREAK")</f>
        <v>OK</v>
      </c>
    </row>
    <row r="43" spans="1:8" x14ac:dyDescent="0.3">
      <c r="A43" s="4" t="s">
        <v>516</v>
      </c>
      <c r="B43" s="37" t="str">
        <f>IF(ABS(B28-(B16-B26))&lt;=Tolerance_USD,"OK","BREAK")</f>
        <v>OK</v>
      </c>
      <c r="C43" s="37" t="str">
        <f>IF(ABS(C28-(C16-C26))&lt;=Tolerance_USD,"OK","BREAK")</f>
        <v>OK</v>
      </c>
      <c r="D43" s="37" t="str">
        <f>IF(ABS(D28-(D16-D26))&lt;=Tolerance_USD,"OK","BREAK")</f>
        <v>OK</v>
      </c>
      <c r="E43" s="37" t="str">
        <f>IF(ABS(E28-(E16-E26))&lt;=Tolerance_USD,"OK","BREAK")</f>
        <v>OK</v>
      </c>
      <c r="F43" s="37" t="str">
        <f>IF(ABS(F28-(F16-F26))&lt;=Tolerance_USD,"OK","BREAK")</f>
        <v>OK</v>
      </c>
    </row>
    <row r="44" spans="1:8" x14ac:dyDescent="0.3">
      <c r="A44" s="4" t="s">
        <v>517</v>
      </c>
      <c r="B44" s="37" t="str">
        <f>IF(ABS(B16-865698.927775563)&lt;=Tolerance_USD,"OK","BREAK")</f>
        <v>OK</v>
      </c>
      <c r="C44" s="37" t="str">
        <f>IF(ABS(C16-995001.867650072)&lt;=Tolerance_USD,"OK","BREAK")</f>
        <v>OK</v>
      </c>
      <c r="D44" s="37" t="str">
        <f>IF(ABS(D16-1157690.68653569)&lt;=Tolerance_USD,"OK","BREAK")</f>
        <v>OK</v>
      </c>
      <c r="E44" s="37" t="str">
        <f>IF(ABS(E16-1351133.40347891)&lt;=Tolerance_USD,"OK","BREAK")</f>
        <v>OK</v>
      </c>
      <c r="F44" s="37" t="str">
        <f>IF(ABS(F16-1580726.97868063)&lt;=Tolerance_USD,"OK","BREAK")</f>
        <v>OK</v>
      </c>
    </row>
    <row r="45" spans="1:8" x14ac:dyDescent="0.3">
      <c r="A45" s="4" t="s">
        <v>518</v>
      </c>
      <c r="B45" s="37" t="str">
        <f>IF(ABS(B28-157315.285833565)&lt;=Tolerance_USD,"OK","BREAK")</f>
        <v>OK</v>
      </c>
      <c r="C45" s="37" t="str">
        <f>IF(ABS(C28-179985.981043246)&lt;=Tolerance_USD,"OK","BREAK")</f>
        <v>OK</v>
      </c>
      <c r="D45" s="37" t="str">
        <f>IF(ABS(D28-209414.776730888)&lt;=Tolerance_USD,"OK","BREAK")</f>
        <v>OK</v>
      </c>
      <c r="E45" s="37" t="str">
        <f>IF(ABS(E28-244406.647918953)&lt;=Tolerance_USD,"OK","BREAK")</f>
        <v>OK</v>
      </c>
      <c r="F45" s="37" t="str">
        <f>IF(ABS(F28-285937.85124373)&lt;=Tolerance_USD,"OK","BREAK")</f>
        <v>OK</v>
      </c>
    </row>
  </sheetData>
  <sheetProtection sheet="1"/>
  <mergeCells count="3">
    <mergeCell ref="A1:L1"/>
    <mergeCell ref="A2:L2"/>
    <mergeCell ref="A3:H3"/>
  </mergeCells>
  <conditionalFormatting sqref="B42:F45">
    <cfRule type="expression" dxfId="61" priority="1">
      <formula>B42="OK"</formula>
    </cfRule>
    <cfRule type="expression" dxfId="60" priority="2">
      <formula>B42="BREAK"</formula>
    </cfRule>
  </conditionalFormatting>
  <pageMargins left="0.7" right="0.7" top="0.75" bottom="0.75" header="0.3" footer="0.3"/>
  <pageSetup fitToHeight="0" orientation="landscape"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563EB"/>
    <pageSetUpPr fitToPage="1"/>
  </sheetPr>
  <dimension ref="A1:L49"/>
  <sheetViews>
    <sheetView workbookViewId="0">
      <pane xSplit="1" ySplit="4" topLeftCell="B5" activePane="bottomRight" state="frozen"/>
      <selection pane="topRight"/>
      <selection pane="bottomLeft"/>
      <selection pane="bottomRight" sqref="A1:L1"/>
    </sheetView>
  </sheetViews>
  <sheetFormatPr defaultRowHeight="14.4" x14ac:dyDescent="0.3"/>
  <cols>
    <col min="1" max="1" width="85" customWidth="1"/>
    <col min="2" max="6" width="18" customWidth="1"/>
    <col min="7" max="7" width="52" customWidth="1"/>
    <col min="8" max="8" width="65" customWidth="1"/>
  </cols>
  <sheetData>
    <row r="1" spans="1:12" ht="22.05" customHeight="1" x14ac:dyDescent="0.4">
      <c r="A1" s="78" t="s">
        <v>519</v>
      </c>
      <c r="B1" s="78"/>
      <c r="C1" s="78"/>
      <c r="D1" s="78"/>
      <c r="E1" s="78"/>
      <c r="F1" s="78"/>
      <c r="G1" s="78"/>
      <c r="H1" s="78"/>
      <c r="I1" s="78"/>
      <c r="J1" s="78"/>
      <c r="K1" s="78"/>
      <c r="L1" s="78"/>
    </row>
    <row r="2" spans="1:12" ht="16.05" customHeight="1" x14ac:dyDescent="0.3">
      <c r="A2" s="79" t="s">
        <v>520</v>
      </c>
      <c r="B2" s="79"/>
      <c r="C2" s="79"/>
      <c r="D2" s="79"/>
      <c r="E2" s="79"/>
      <c r="F2" s="79"/>
      <c r="G2" s="79"/>
      <c r="H2" s="79"/>
      <c r="I2" s="79"/>
      <c r="J2" s="79"/>
      <c r="K2" s="79"/>
      <c r="L2" s="79"/>
    </row>
    <row r="3" spans="1:12" x14ac:dyDescent="0.3">
      <c r="A3" s="79" t="s">
        <v>521</v>
      </c>
      <c r="B3" s="79"/>
      <c r="C3" s="79"/>
      <c r="D3" s="79"/>
      <c r="E3" s="79"/>
      <c r="F3" s="79"/>
      <c r="G3" s="79"/>
      <c r="H3" s="79"/>
    </row>
    <row r="4" spans="1:12" ht="19.95" customHeight="1" x14ac:dyDescent="0.3">
      <c r="A4" s="2" t="s">
        <v>522</v>
      </c>
      <c r="B4" s="3" t="s">
        <v>209</v>
      </c>
      <c r="C4" s="3" t="s">
        <v>357</v>
      </c>
      <c r="D4" s="3" t="s">
        <v>358</v>
      </c>
      <c r="E4" s="3" t="s">
        <v>359</v>
      </c>
      <c r="F4" s="3" t="s">
        <v>212</v>
      </c>
      <c r="G4" s="3" t="s">
        <v>360</v>
      </c>
      <c r="H4" s="3" t="s">
        <v>103</v>
      </c>
    </row>
    <row r="5" spans="1:12" ht="18" customHeight="1" x14ac:dyDescent="0.3">
      <c r="A5" s="23" t="s">
        <v>523</v>
      </c>
      <c r="B5" s="23" t="s">
        <v>4</v>
      </c>
      <c r="C5" s="23" t="s">
        <v>4</v>
      </c>
      <c r="D5" s="23" t="s">
        <v>4</v>
      </c>
      <c r="E5" s="23" t="s">
        <v>4</v>
      </c>
      <c r="F5" s="23" t="s">
        <v>4</v>
      </c>
      <c r="G5" s="23" t="s">
        <v>4</v>
      </c>
      <c r="H5" s="23" t="s">
        <v>4</v>
      </c>
    </row>
    <row r="6" spans="1:12" x14ac:dyDescent="0.3">
      <c r="A6" s="7" t="s">
        <v>524</v>
      </c>
      <c r="B6" s="47">
        <f>Assumption_dso_days/365*RevTotal_FY2026</f>
        <v>187353.23141304983</v>
      </c>
      <c r="C6" s="47">
        <f>Assumption_dso_days/365*RevTotal_FY2027</f>
        <v>216178.65891770049</v>
      </c>
      <c r="D6" s="47">
        <f>Assumption_dso_days/365*RevTotal_FY2028</f>
        <v>251525.17617666849</v>
      </c>
      <c r="E6" s="47">
        <f>Assumption_dso_days/365*RevTotal_FY2029</f>
        <v>293553.42605819314</v>
      </c>
      <c r="F6" s="47">
        <f>Assumption_dso_days/365*RevTotal_FY2030</f>
        <v>343435.97683214117</v>
      </c>
      <c r="G6" s="25" t="s">
        <v>525</v>
      </c>
      <c r="H6" s="6" t="s">
        <v>526</v>
      </c>
    </row>
    <row r="7" spans="1:12" x14ac:dyDescent="0.3">
      <c r="A7" s="7" t="s">
        <v>299</v>
      </c>
      <c r="B7" s="47">
        <f>Assumption_deferred_cost_pct_revenue*RevTotal_FY2026</f>
        <v>118072.11285202479</v>
      </c>
      <c r="C7" s="47">
        <f>Assumption_deferred_cost_pct_revenue*RevTotal_FY2027</f>
        <v>136238.22135022018</v>
      </c>
      <c r="D7" s="47">
        <f>Assumption_deferred_cost_pct_revenue*RevTotal_FY2028</f>
        <v>158513.99392830775</v>
      </c>
      <c r="E7" s="47">
        <f>Assumption_deferred_cost_pct_revenue*RevTotal_FY2029</f>
        <v>185000.6695279624</v>
      </c>
      <c r="F7" s="47">
        <f>Assumption_deferred_cost_pct_revenue*RevTotal_FY2030</f>
        <v>216437.21385605884</v>
      </c>
      <c r="G7" s="25" t="s">
        <v>527</v>
      </c>
      <c r="H7" s="6" t="s">
        <v>528</v>
      </c>
    </row>
    <row r="8" spans="1:12" x14ac:dyDescent="0.3">
      <c r="A8" s="7" t="s">
        <v>529</v>
      </c>
      <c r="B8" s="47">
        <f>Assumption_prepaid_expenses_pct_revenue*RevTotal_FY2026</f>
        <v>19101.656275352849</v>
      </c>
      <c r="C8" s="47">
        <f>Assumption_prepaid_expenses_pct_revenue*RevTotal_FY2027</f>
        <v>22040.561593564435</v>
      </c>
      <c r="D8" s="47">
        <f>Assumption_prepaid_expenses_pct_revenue*RevTotal_FY2028</f>
        <v>25644.326621364249</v>
      </c>
      <c r="E8" s="47">
        <f>Assumption_prepaid_expenses_pct_revenue*RevTotal_FY2029</f>
        <v>29929.329751743157</v>
      </c>
      <c r="F8" s="47">
        <f>Assumption_prepaid_expenses_pct_revenue*RevTotal_FY2030</f>
        <v>35015.120542941775</v>
      </c>
      <c r="G8" s="25" t="s">
        <v>530</v>
      </c>
      <c r="H8" s="6" t="s">
        <v>531</v>
      </c>
    </row>
    <row r="9" spans="1:12" x14ac:dyDescent="0.3">
      <c r="A9" s="7" t="s">
        <v>532</v>
      </c>
      <c r="B9" s="47">
        <f>Assumption_income_tax_receivable_pct_revenue*RevTotal_FY2026</f>
        <v>16236.407834049918</v>
      </c>
      <c r="C9" s="47">
        <f>Assumption_income_tax_receivable_pct_revenue*RevTotal_FY2027</f>
        <v>18734.477354529768</v>
      </c>
      <c r="D9" s="47">
        <f>Assumption_income_tax_receivable_pct_revenue*RevTotal_FY2028</f>
        <v>21797.67762815961</v>
      </c>
      <c r="E9" s="47">
        <f>Assumption_income_tax_receivable_pct_revenue*RevTotal_FY2029</f>
        <v>25439.930288981683</v>
      </c>
      <c r="F9" s="47">
        <f>Assumption_income_tax_receivable_pct_revenue*RevTotal_FY2030</f>
        <v>29762.852461500504</v>
      </c>
      <c r="G9" s="25" t="s">
        <v>533</v>
      </c>
      <c r="H9" s="6" t="s">
        <v>534</v>
      </c>
    </row>
    <row r="10" spans="1:12" x14ac:dyDescent="0.3">
      <c r="A10" s="4" t="s">
        <v>535</v>
      </c>
      <c r="B10" s="20">
        <f>B6+B7+B8+B9</f>
        <v>340763.40837447735</v>
      </c>
      <c r="C10" s="20">
        <f>C6+C7+C8+C9</f>
        <v>393191.91921601491</v>
      </c>
      <c r="D10" s="20">
        <f>D6+D7+D8+D9</f>
        <v>457481.17435450014</v>
      </c>
      <c r="E10" s="20">
        <f>E6+E7+E8+E9</f>
        <v>533923.35562688042</v>
      </c>
      <c r="F10" s="20">
        <f>F6+F7+F8+F9</f>
        <v>624651.16369264235</v>
      </c>
      <c r="G10" s="25" t="s">
        <v>536</v>
      </c>
      <c r="H10" s="6" t="s">
        <v>537</v>
      </c>
    </row>
    <row r="12" spans="1:12" ht="18" customHeight="1" x14ac:dyDescent="0.3">
      <c r="A12" s="23" t="s">
        <v>538</v>
      </c>
      <c r="B12" s="23" t="s">
        <v>4</v>
      </c>
      <c r="C12" s="23" t="s">
        <v>4</v>
      </c>
      <c r="D12" s="23" t="s">
        <v>4</v>
      </c>
      <c r="E12" s="23" t="s">
        <v>4</v>
      </c>
      <c r="F12" s="23" t="s">
        <v>4</v>
      </c>
      <c r="G12" s="23" t="s">
        <v>4</v>
      </c>
      <c r="H12" s="23" t="s">
        <v>4</v>
      </c>
    </row>
    <row r="13" spans="1:12" x14ac:dyDescent="0.3">
      <c r="A13" s="7" t="s">
        <v>539</v>
      </c>
      <c r="B13" s="47">
        <f>DR_EOP_FY2026</f>
        <v>570900.75192960817</v>
      </c>
      <c r="C13" s="47">
        <f>DR_EOP_FY2027</f>
        <v>658737.28462765715</v>
      </c>
      <c r="D13" s="47">
        <f>DR_EOP_FY2028</f>
        <v>766444.81189602392</v>
      </c>
      <c r="E13" s="47">
        <f>DR_EOP_FY2029</f>
        <v>894512.84295522363</v>
      </c>
      <c r="F13" s="47">
        <f>DR_EOP_FY2030</f>
        <v>1046514.4152271722</v>
      </c>
      <c r="G13" s="25" t="s">
        <v>540</v>
      </c>
      <c r="H13" s="6" t="s">
        <v>541</v>
      </c>
    </row>
    <row r="14" spans="1:12" x14ac:dyDescent="0.3">
      <c r="A14" s="7" t="s">
        <v>310</v>
      </c>
      <c r="B14" s="47">
        <f>Assumption_dpo_days/365*CostOfRev_FY2026</f>
        <v>9107.4136738803154</v>
      </c>
      <c r="C14" s="47">
        <f>Assumption_dpo_days/365*CostOfRev_FY2027</f>
        <v>10616.607231863707</v>
      </c>
      <c r="D14" s="47">
        <f>Assumption_dpo_days/365*CostOfRev_FY2028</f>
        <v>12352.486678204512</v>
      </c>
      <c r="E14" s="47">
        <f>Assumption_dpo_days/365*CostOfRev_FY2029</f>
        <v>14416.508278989062</v>
      </c>
      <c r="F14" s="47">
        <f>Assumption_dpo_days/365*CostOfRev_FY2030</f>
        <v>16866.257259493737</v>
      </c>
      <c r="G14" s="25" t="s">
        <v>542</v>
      </c>
      <c r="H14" s="6" t="s">
        <v>543</v>
      </c>
    </row>
    <row r="15" spans="1:12" x14ac:dyDescent="0.3">
      <c r="A15" s="7" t="s">
        <v>544</v>
      </c>
      <c r="B15" s="47">
        <f>Assumption_accrued_expenses_pct_revenue*RevTotal_FY2026</f>
        <v>52529.554757220329</v>
      </c>
      <c r="C15" s="47">
        <f>Assumption_accrued_expenses_pct_revenue*RevTotal_FY2027</f>
        <v>60611.544382302192</v>
      </c>
      <c r="D15" s="47">
        <f>Assumption_accrued_expenses_pct_revenue*RevTotal_FY2028</f>
        <v>70521.898208751678</v>
      </c>
      <c r="E15" s="47">
        <f>Assumption_accrued_expenses_pct_revenue*RevTotal_FY2029</f>
        <v>82305.656817293682</v>
      </c>
      <c r="F15" s="47">
        <f>Assumption_accrued_expenses_pct_revenue*RevTotal_FY2030</f>
        <v>96291.581493089863</v>
      </c>
      <c r="G15" s="25" t="s">
        <v>545</v>
      </c>
      <c r="H15" s="6" t="s">
        <v>546</v>
      </c>
    </row>
    <row r="16" spans="1:12" x14ac:dyDescent="0.3">
      <c r="A16" s="7" t="s">
        <v>547</v>
      </c>
      <c r="B16" s="47">
        <f>Assumption_income_tax_payable_pct_revenue*RevTotal_FY2026</f>
        <v>1432.6242206514635</v>
      </c>
      <c r="C16" s="47">
        <f>Assumption_income_tax_payable_pct_revenue*RevTotal_FY2027</f>
        <v>1653.0421195173326</v>
      </c>
      <c r="D16" s="47">
        <f>Assumption_income_tax_payable_pct_revenue*RevTotal_FY2028</f>
        <v>1923.3244966023183</v>
      </c>
      <c r="E16" s="47">
        <f>Assumption_income_tax_payable_pct_revenue*RevTotal_FY2029</f>
        <v>2244.6997313807365</v>
      </c>
      <c r="F16" s="47">
        <f>Assumption_income_tax_payable_pct_revenue*RevTotal_FY2030</f>
        <v>2626.1340407206326</v>
      </c>
      <c r="G16" s="25" t="s">
        <v>548</v>
      </c>
      <c r="H16" s="6" t="s">
        <v>549</v>
      </c>
    </row>
    <row r="17" spans="1:8" x14ac:dyDescent="0.3">
      <c r="A17" s="4" t="s">
        <v>550</v>
      </c>
      <c r="B17" s="20">
        <f>B13+B14+B15+B16</f>
        <v>633970.34458136023</v>
      </c>
      <c r="C17" s="20">
        <f>C13+C14+C15+C16</f>
        <v>731618.47836134036</v>
      </c>
      <c r="D17" s="20">
        <f>D13+D14+D15+D16</f>
        <v>851242.5212795824</v>
      </c>
      <c r="E17" s="20">
        <f>E13+E14+E15+E16</f>
        <v>993479.70778288716</v>
      </c>
      <c r="F17" s="20">
        <f>F13+F14+F15+F16</f>
        <v>1162298.3880204763</v>
      </c>
      <c r="G17" s="25" t="s">
        <v>551</v>
      </c>
      <c r="H17" s="6" t="s">
        <v>552</v>
      </c>
    </row>
    <row r="19" spans="1:8" ht="18" customHeight="1" x14ac:dyDescent="0.3">
      <c r="A19" s="23" t="s">
        <v>553</v>
      </c>
      <c r="B19" s="23" t="s">
        <v>4</v>
      </c>
      <c r="C19" s="23" t="s">
        <v>4</v>
      </c>
      <c r="D19" s="23" t="s">
        <v>4</v>
      </c>
      <c r="E19" s="23" t="s">
        <v>4</v>
      </c>
      <c r="F19" s="23" t="s">
        <v>4</v>
      </c>
      <c r="G19" s="23" t="s">
        <v>4</v>
      </c>
      <c r="H19" s="23" t="s">
        <v>4</v>
      </c>
    </row>
    <row r="20" spans="1:8" x14ac:dyDescent="0.3">
      <c r="A20" s="4" t="s">
        <v>554</v>
      </c>
      <c r="B20" s="20">
        <f>B10-B17</f>
        <v>-293206.93620688288</v>
      </c>
      <c r="C20" s="20">
        <f>C10-C17</f>
        <v>-338426.55914532545</v>
      </c>
      <c r="D20" s="20">
        <f>D10-D17</f>
        <v>-393761.34692508227</v>
      </c>
      <c r="E20" s="20">
        <f>E10-E17</f>
        <v>-459556.35215600673</v>
      </c>
      <c r="F20" s="20">
        <f>F10-F17</f>
        <v>-537647.22432783397</v>
      </c>
      <c r="G20" s="25" t="s">
        <v>555</v>
      </c>
      <c r="H20" s="6" t="s">
        <v>556</v>
      </c>
    </row>
    <row r="22" spans="1:8" ht="18" customHeight="1" x14ac:dyDescent="0.3">
      <c r="A22" s="23" t="s">
        <v>557</v>
      </c>
      <c r="B22" s="23" t="s">
        <v>4</v>
      </c>
      <c r="C22" s="23" t="s">
        <v>4</v>
      </c>
      <c r="D22" s="23" t="s">
        <v>4</v>
      </c>
      <c r="E22" s="23" t="s">
        <v>4</v>
      </c>
      <c r="F22" s="23" t="s">
        <v>4</v>
      </c>
      <c r="G22" s="23" t="s">
        <v>4</v>
      </c>
      <c r="H22" s="23" t="s">
        <v>4</v>
      </c>
    </row>
    <row r="23" spans="1:8" x14ac:dyDescent="0.3">
      <c r="A23" s="7" t="s">
        <v>558</v>
      </c>
      <c r="B23" s="47">
        <f>Assumption_capex_ppe_pct_revenue*RevTotal_FY2026</f>
        <v>20773.051199446221</v>
      </c>
      <c r="C23" s="47">
        <f>Assumption_capex_ppe_pct_revenue*RevTotal_FY2027</f>
        <v>23969.110733001322</v>
      </c>
      <c r="D23" s="47">
        <f>Assumption_capex_ppe_pct_revenue*RevTotal_FY2028</f>
        <v>27888.205200733617</v>
      </c>
      <c r="E23" s="47">
        <f>Assumption_capex_ppe_pct_revenue*RevTotal_FY2029</f>
        <v>32548.146105020682</v>
      </c>
      <c r="F23" s="47">
        <f>Assumption_capex_ppe_pct_revenue*RevTotal_FY2030</f>
        <v>38078.943590449177</v>
      </c>
      <c r="G23" s="25" t="s">
        <v>559</v>
      </c>
      <c r="H23" s="6" t="s">
        <v>560</v>
      </c>
    </row>
    <row r="24" spans="1:8" x14ac:dyDescent="0.3">
      <c r="A24" s="7" t="s">
        <v>561</v>
      </c>
      <c r="B24" s="47">
        <f>Assumption_capitalized_software_pct_revenue*RevTotal_FY2026</f>
        <v>10744.681654885975</v>
      </c>
      <c r="C24" s="47">
        <f>Assumption_capitalized_software_pct_revenue*RevTotal_FY2027</f>
        <v>12397.815896379994</v>
      </c>
      <c r="D24" s="47">
        <f>Assumption_capitalized_software_pct_revenue*RevTotal_FY2028</f>
        <v>14424.933724517388</v>
      </c>
      <c r="E24" s="47">
        <f>Assumption_capitalized_software_pct_revenue*RevTotal_FY2029</f>
        <v>16835.247985355523</v>
      </c>
      <c r="F24" s="47">
        <f>Assumption_capitalized_software_pct_revenue*RevTotal_FY2030</f>
        <v>19696.005305404746</v>
      </c>
      <c r="G24" s="25" t="s">
        <v>562</v>
      </c>
      <c r="H24" s="6" t="s">
        <v>563</v>
      </c>
    </row>
    <row r="25" spans="1:8" x14ac:dyDescent="0.3">
      <c r="A25" s="4" t="s">
        <v>564</v>
      </c>
      <c r="B25" s="20">
        <f>B23+B24</f>
        <v>31517.732854332196</v>
      </c>
      <c r="C25" s="20">
        <f>C23+C24</f>
        <v>36366.926629381313</v>
      </c>
      <c r="D25" s="20">
        <f>D23+D24</f>
        <v>42313.138925251005</v>
      </c>
      <c r="E25" s="20">
        <f>E23+E24</f>
        <v>49383.394090376205</v>
      </c>
      <c r="F25" s="20">
        <f>F23+F24</f>
        <v>57774.948895853922</v>
      </c>
      <c r="G25" s="25" t="s">
        <v>565</v>
      </c>
      <c r="H25" s="6" t="s">
        <v>566</v>
      </c>
    </row>
    <row r="26" spans="1:8" x14ac:dyDescent="0.3">
      <c r="A26" s="7" t="s">
        <v>567</v>
      </c>
      <c r="B26" s="48" t="str">
        <f>IF(ABS(B25-Assumption_capex_total_pct_revenue*RevTotal_FY2026)&lt;=Tolerance_USD,"OK","BREAK")</f>
        <v>OK</v>
      </c>
      <c r="C26" s="48" t="str">
        <f>IF(ABS(C25-Assumption_capex_total_pct_revenue*RevTotal_FY2027)&lt;=Tolerance_USD,"OK","BREAK")</f>
        <v>OK</v>
      </c>
      <c r="D26" s="48" t="str">
        <f>IF(ABS(D25-Assumption_capex_total_pct_revenue*RevTotal_FY2028)&lt;=Tolerance_USD,"OK","BREAK")</f>
        <v>OK</v>
      </c>
      <c r="E26" s="48" t="str">
        <f>IF(ABS(E25-Assumption_capex_total_pct_revenue*RevTotal_FY2029)&lt;=Tolerance_USD,"OK","BREAK")</f>
        <v>OK</v>
      </c>
      <c r="F26" s="48" t="str">
        <f>IF(ABS(F25-Assumption_capex_total_pct_revenue*RevTotal_FY2030)&lt;=Tolerance_USD,"OK","BREAK")</f>
        <v>OK</v>
      </c>
    </row>
    <row r="28" spans="1:8" ht="18" customHeight="1" x14ac:dyDescent="0.3">
      <c r="A28" s="23" t="s">
        <v>568</v>
      </c>
      <c r="B28" s="23" t="s">
        <v>4</v>
      </c>
      <c r="C28" s="23" t="s">
        <v>4</v>
      </c>
      <c r="D28" s="23" t="s">
        <v>4</v>
      </c>
      <c r="E28" s="23" t="s">
        <v>4</v>
      </c>
      <c r="F28" s="23" t="s">
        <v>4</v>
      </c>
      <c r="G28" s="23" t="s">
        <v>4</v>
      </c>
      <c r="H28" s="23" t="s">
        <v>4</v>
      </c>
    </row>
    <row r="29" spans="1:8" x14ac:dyDescent="0.3">
      <c r="A29" s="7" t="s">
        <v>569</v>
      </c>
      <c r="B29" s="47">
        <f>Assumption_depreciation_pct_revenue*RevTotal_FY2026</f>
        <v>5969.2675860477648</v>
      </c>
      <c r="C29" s="47">
        <f>Assumption_depreciation_pct_revenue*RevTotal_FY2027</f>
        <v>6887.6754979888865</v>
      </c>
      <c r="D29" s="47">
        <f>Assumption_depreciation_pct_revenue*RevTotal_FY2028</f>
        <v>8013.8520691763269</v>
      </c>
      <c r="E29" s="47">
        <f>Assumption_depreciation_pct_revenue*RevTotal_FY2029</f>
        <v>9352.915547419736</v>
      </c>
      <c r="F29" s="47">
        <f>Assumption_depreciation_pct_revenue*RevTotal_FY2030</f>
        <v>10942.225169669304</v>
      </c>
      <c r="G29" s="25" t="s">
        <v>570</v>
      </c>
      <c r="H29" s="6" t="s">
        <v>571</v>
      </c>
    </row>
    <row r="30" spans="1:8" x14ac:dyDescent="0.3">
      <c r="A30" s="7" t="s">
        <v>572</v>
      </c>
      <c r="B30" s="47">
        <f>Assumption_amortization_pct_revenue*RevTotal_FY2026</f>
        <v>10625.296303165022</v>
      </c>
      <c r="C30" s="47">
        <f>Assumption_amortization_pct_revenue*RevTotal_FY2027</f>
        <v>12260.062386420217</v>
      </c>
      <c r="D30" s="47">
        <f>Assumption_amortization_pct_revenue*RevTotal_FY2028</f>
        <v>14264.656683133862</v>
      </c>
      <c r="E30" s="47">
        <f>Assumption_amortization_pct_revenue*RevTotal_FY2029</f>
        <v>16648.189674407131</v>
      </c>
      <c r="F30" s="47">
        <f>Assumption_amortization_pct_revenue*RevTotal_FY2030</f>
        <v>19477.16080201136</v>
      </c>
      <c r="G30" s="25" t="s">
        <v>573</v>
      </c>
      <c r="H30" s="6" t="s">
        <v>574</v>
      </c>
    </row>
    <row r="31" spans="1:8" x14ac:dyDescent="0.3">
      <c r="A31" s="4" t="s">
        <v>575</v>
      </c>
      <c r="B31" s="20">
        <f>B29+B30</f>
        <v>16594.563889212786</v>
      </c>
      <c r="C31" s="20">
        <f>C29+C30</f>
        <v>19147.737884409104</v>
      </c>
      <c r="D31" s="20">
        <f>D29+D30</f>
        <v>22278.50875231019</v>
      </c>
      <c r="E31" s="20">
        <f>E29+E30</f>
        <v>26001.105221826867</v>
      </c>
      <c r="F31" s="20">
        <f>F29+F30</f>
        <v>30419.385971680662</v>
      </c>
      <c r="G31" s="25" t="s">
        <v>576</v>
      </c>
      <c r="H31" s="6" t="s">
        <v>577</v>
      </c>
    </row>
    <row r="33" spans="1:8" ht="18" customHeight="1" x14ac:dyDescent="0.3">
      <c r="A33" s="23" t="s">
        <v>578</v>
      </c>
      <c r="B33" s="23" t="s">
        <v>4</v>
      </c>
      <c r="C33" s="23" t="s">
        <v>4</v>
      </c>
      <c r="D33" s="23" t="s">
        <v>4</v>
      </c>
      <c r="E33" s="23" t="s">
        <v>4</v>
      </c>
      <c r="F33" s="23" t="s">
        <v>4</v>
      </c>
      <c r="G33" s="23" t="s">
        <v>4</v>
      </c>
      <c r="H33" s="23" t="s">
        <v>4</v>
      </c>
    </row>
    <row r="34" spans="1:8" x14ac:dyDescent="0.3">
      <c r="A34" s="7" t="s">
        <v>579</v>
      </c>
      <c r="B34" s="11">
        <v>36297</v>
      </c>
      <c r="C34" s="36">
        <f>B37</f>
        <v>51100.783613398453</v>
      </c>
      <c r="D34" s="36">
        <f>C37</f>
        <v>68182.218848410877</v>
      </c>
      <c r="E34" s="36">
        <f>D37</f>
        <v>88056.571979968168</v>
      </c>
      <c r="F34" s="36">
        <f>E37</f>
        <v>111251.80253756912</v>
      </c>
      <c r="G34" s="25" t="s">
        <v>363</v>
      </c>
    </row>
    <row r="35" spans="1:8" x14ac:dyDescent="0.3">
      <c r="A35" s="7" t="s">
        <v>580</v>
      </c>
      <c r="B35" s="36">
        <f>B23</f>
        <v>20773.051199446221</v>
      </c>
      <c r="C35" s="36">
        <f>C23</f>
        <v>23969.110733001322</v>
      </c>
      <c r="D35" s="36">
        <f>D23</f>
        <v>27888.205200733617</v>
      </c>
      <c r="E35" s="36">
        <f>E23</f>
        <v>32548.146105020682</v>
      </c>
      <c r="F35" s="36">
        <f>F23</f>
        <v>38078.943590449177</v>
      </c>
      <c r="G35" s="25" t="s">
        <v>581</v>
      </c>
    </row>
    <row r="36" spans="1:8" x14ac:dyDescent="0.3">
      <c r="A36" s="7" t="s">
        <v>582</v>
      </c>
      <c r="B36" s="36">
        <f>-B29</f>
        <v>-5969.2675860477648</v>
      </c>
      <c r="C36" s="36">
        <f>-C29</f>
        <v>-6887.6754979888865</v>
      </c>
      <c r="D36" s="36">
        <f>-D29</f>
        <v>-8013.8520691763269</v>
      </c>
      <c r="E36" s="36">
        <f>-E29</f>
        <v>-9352.915547419736</v>
      </c>
      <c r="F36" s="36">
        <f>-F29</f>
        <v>-10942.225169669304</v>
      </c>
      <c r="G36" s="25" t="s">
        <v>583</v>
      </c>
    </row>
    <row r="37" spans="1:8" x14ac:dyDescent="0.3">
      <c r="A37" s="4" t="s">
        <v>584</v>
      </c>
      <c r="B37" s="20">
        <f>B34+B35+B36</f>
        <v>51100.783613398453</v>
      </c>
      <c r="C37" s="20">
        <f>C34+C35+C36</f>
        <v>68182.218848410877</v>
      </c>
      <c r="D37" s="20">
        <f>D34+D35+D36</f>
        <v>88056.571979968168</v>
      </c>
      <c r="E37" s="20">
        <f>E34+E35+E36</f>
        <v>111251.80253756912</v>
      </c>
      <c r="F37" s="20">
        <f>F34+F35+F36</f>
        <v>138388.52095834899</v>
      </c>
      <c r="G37" s="25" t="s">
        <v>585</v>
      </c>
      <c r="H37" s="6" t="s">
        <v>586</v>
      </c>
    </row>
    <row r="39" spans="1:8" ht="18" customHeight="1" x14ac:dyDescent="0.3">
      <c r="A39" s="23" t="s">
        <v>587</v>
      </c>
      <c r="B39" s="23" t="s">
        <v>4</v>
      </c>
      <c r="C39" s="23" t="s">
        <v>4</v>
      </c>
      <c r="D39" s="23" t="s">
        <v>4</v>
      </c>
      <c r="E39" s="23" t="s">
        <v>4</v>
      </c>
      <c r="F39" s="23" t="s">
        <v>4</v>
      </c>
      <c r="G39" s="23" t="s">
        <v>4</v>
      </c>
      <c r="H39" s="23" t="s">
        <v>4</v>
      </c>
    </row>
    <row r="40" spans="1:8" x14ac:dyDescent="0.3">
      <c r="A40" s="7" t="s">
        <v>588</v>
      </c>
      <c r="B40" s="11">
        <v>28309</v>
      </c>
      <c r="C40" s="36">
        <f>B43</f>
        <v>28428.385351720957</v>
      </c>
      <c r="D40" s="36">
        <f>C43</f>
        <v>28566.138861680734</v>
      </c>
      <c r="E40" s="36">
        <f>D43</f>
        <v>28726.415903064255</v>
      </c>
      <c r="F40" s="36">
        <f>E43</f>
        <v>28913.474214012644</v>
      </c>
      <c r="G40" s="25" t="s">
        <v>363</v>
      </c>
    </row>
    <row r="41" spans="1:8" x14ac:dyDescent="0.3">
      <c r="A41" s="7" t="s">
        <v>589</v>
      </c>
      <c r="B41" s="36">
        <f>B24</f>
        <v>10744.681654885975</v>
      </c>
      <c r="C41" s="36">
        <f>C24</f>
        <v>12397.815896379994</v>
      </c>
      <c r="D41" s="36">
        <f>D24</f>
        <v>14424.933724517388</v>
      </c>
      <c r="E41" s="36">
        <f>E24</f>
        <v>16835.247985355523</v>
      </c>
      <c r="F41" s="36">
        <f>F24</f>
        <v>19696.005305404746</v>
      </c>
      <c r="G41" s="25" t="s">
        <v>590</v>
      </c>
    </row>
    <row r="42" spans="1:8" x14ac:dyDescent="0.3">
      <c r="A42" s="7" t="s">
        <v>591</v>
      </c>
      <c r="B42" s="36">
        <f>-B30</f>
        <v>-10625.296303165022</v>
      </c>
      <c r="C42" s="36">
        <f>-C30</f>
        <v>-12260.062386420217</v>
      </c>
      <c r="D42" s="36">
        <f>-D30</f>
        <v>-14264.656683133862</v>
      </c>
      <c r="E42" s="36">
        <f>-E30</f>
        <v>-16648.189674407131</v>
      </c>
      <c r="F42" s="36">
        <f>-F30</f>
        <v>-19477.16080201136</v>
      </c>
      <c r="G42" s="25" t="s">
        <v>592</v>
      </c>
    </row>
    <row r="43" spans="1:8" x14ac:dyDescent="0.3">
      <c r="A43" s="4" t="s">
        <v>593</v>
      </c>
      <c r="B43" s="20">
        <f>B40+B41+B42</f>
        <v>28428.385351720957</v>
      </c>
      <c r="C43" s="20">
        <f>C40+C41+C42</f>
        <v>28566.138861680734</v>
      </c>
      <c r="D43" s="20">
        <f>D40+D41+D42</f>
        <v>28726.415903064255</v>
      </c>
      <c r="E43" s="20">
        <f>E40+E41+E42</f>
        <v>28913.474214012644</v>
      </c>
      <c r="F43" s="20">
        <f>F40+F41+F42</f>
        <v>29132.318717406033</v>
      </c>
      <c r="G43" s="25" t="s">
        <v>594</v>
      </c>
      <c r="H43" s="6" t="s">
        <v>595</v>
      </c>
    </row>
    <row r="45" spans="1:8" ht="18" customHeight="1" x14ac:dyDescent="0.3">
      <c r="A45" s="23" t="s">
        <v>443</v>
      </c>
      <c r="B45" s="23" t="s">
        <v>4</v>
      </c>
      <c r="C45" s="23" t="s">
        <v>4</v>
      </c>
      <c r="D45" s="23" t="s">
        <v>4</v>
      </c>
      <c r="E45" s="23" t="s">
        <v>4</v>
      </c>
      <c r="F45" s="23" t="s">
        <v>4</v>
      </c>
      <c r="G45" s="23" t="s">
        <v>4</v>
      </c>
      <c r="H45" s="23" t="s">
        <v>4</v>
      </c>
    </row>
    <row r="46" spans="1:8" x14ac:dyDescent="0.3">
      <c r="A46" s="4" t="s">
        <v>596</v>
      </c>
      <c r="B46" s="37" t="str">
        <f>IF(ABS(B10-(B6+B7+B8+B9))&lt;=Tolerance_USD,"OK","BREAK")</f>
        <v>OK</v>
      </c>
      <c r="C46" s="37" t="str">
        <f>IF(ABS(C10-(C6+C7+C8+C9))&lt;=Tolerance_USD,"OK","BREAK")</f>
        <v>OK</v>
      </c>
      <c r="D46" s="37" t="str">
        <f>IF(ABS(D10-(D6+D7+D8+D9))&lt;=Tolerance_USD,"OK","BREAK")</f>
        <v>OK</v>
      </c>
      <c r="E46" s="37" t="str">
        <f>IF(ABS(E10-(E6+E7+E8+E9))&lt;=Tolerance_USD,"OK","BREAK")</f>
        <v>OK</v>
      </c>
      <c r="F46" s="37" t="str">
        <f>IF(ABS(F10-(F6+F7+F8+F9))&lt;=Tolerance_USD,"OK","BREAK")</f>
        <v>OK</v>
      </c>
    </row>
    <row r="47" spans="1:8" x14ac:dyDescent="0.3">
      <c r="A47" s="4" t="s">
        <v>597</v>
      </c>
      <c r="B47" s="37" t="str">
        <f>IF(ABS(B17-(B13+B14+B15+B16))&lt;=Tolerance_USD,"OK","BREAK")</f>
        <v>OK</v>
      </c>
      <c r="C47" s="37" t="str">
        <f>IF(ABS(C17-(C13+C14+C15+C16))&lt;=Tolerance_USD,"OK","BREAK")</f>
        <v>OK</v>
      </c>
      <c r="D47" s="37" t="str">
        <f>IF(ABS(D17-(D13+D14+D15+D16))&lt;=Tolerance_USD,"OK","BREAK")</f>
        <v>OK</v>
      </c>
      <c r="E47" s="37" t="str">
        <f>IF(ABS(E17-(E13+E14+E15+E16))&lt;=Tolerance_USD,"OK","BREAK")</f>
        <v>OK</v>
      </c>
      <c r="F47" s="37" t="str">
        <f>IF(ABS(F17-(F13+F14+F15+F16))&lt;=Tolerance_USD,"OK","BREAK")</f>
        <v>OK</v>
      </c>
    </row>
    <row r="48" spans="1:8" x14ac:dyDescent="0.3">
      <c r="A48" s="4" t="s">
        <v>598</v>
      </c>
      <c r="B48" s="37" t="str">
        <f>IF(ABS(B37-(B34+B35+B36))&lt;=Tolerance_USD,"OK","BREAK")</f>
        <v>OK</v>
      </c>
      <c r="C48" s="37" t="str">
        <f>IF(ABS(C37-(C34+C35+C36))&lt;=Tolerance_USD,"OK","BREAK")</f>
        <v>OK</v>
      </c>
      <c r="D48" s="37" t="str">
        <f>IF(ABS(D37-(D34+D35+D36))&lt;=Tolerance_USD,"OK","BREAK")</f>
        <v>OK</v>
      </c>
      <c r="E48" s="37" t="str">
        <f>IF(ABS(E37-(E34+E35+E36))&lt;=Tolerance_USD,"OK","BREAK")</f>
        <v>OK</v>
      </c>
      <c r="F48" s="37" t="str">
        <f>IF(ABS(F37-(F34+F35+F36))&lt;=Tolerance_USD,"OK","BREAK")</f>
        <v>OK</v>
      </c>
    </row>
    <row r="49" spans="1:6" x14ac:dyDescent="0.3">
      <c r="A49" s="4" t="s">
        <v>599</v>
      </c>
      <c r="B49" s="37" t="str">
        <f>IF(ABS(B43-(B40+B41+B42))&lt;=Tolerance_USD,"OK","BREAK")</f>
        <v>OK</v>
      </c>
      <c r="C49" s="37" t="str">
        <f>IF(ABS(C43-(C40+C41+C42))&lt;=Tolerance_USD,"OK","BREAK")</f>
        <v>OK</v>
      </c>
      <c r="D49" s="37" t="str">
        <f>IF(ABS(D43-(D40+D41+D42))&lt;=Tolerance_USD,"OK","BREAK")</f>
        <v>OK</v>
      </c>
      <c r="E49" s="37" t="str">
        <f>IF(ABS(E43-(E40+E41+E42))&lt;=Tolerance_USD,"OK","BREAK")</f>
        <v>OK</v>
      </c>
      <c r="F49" s="37" t="str">
        <f>IF(ABS(F43-(F40+F41+F42))&lt;=Tolerance_USD,"OK","BREAK")</f>
        <v>OK</v>
      </c>
    </row>
  </sheetData>
  <sheetProtection sheet="1"/>
  <mergeCells count="3">
    <mergeCell ref="A1:L1"/>
    <mergeCell ref="A2:L2"/>
    <mergeCell ref="A3:H3"/>
  </mergeCells>
  <conditionalFormatting sqref="B26:F26">
    <cfRule type="expression" dxfId="59" priority="1">
      <formula>B26="OK"</formula>
    </cfRule>
    <cfRule type="expression" dxfId="58" priority="2">
      <formula>B26="BREAK"</formula>
    </cfRule>
  </conditionalFormatting>
  <conditionalFormatting sqref="B46:F49">
    <cfRule type="expression" dxfId="57" priority="3">
      <formula>B46="OK"</formula>
    </cfRule>
    <cfRule type="expression" dxfId="56" priority="4">
      <formula>B46="BREAK"</formula>
    </cfRule>
  </conditionalFormatting>
  <pageMargins left="0.7" right="0.7" top="0.75" bottom="0.75" header="0.3" footer="0.3"/>
  <pageSetup fitToHeight="0" orientation="landscape"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pageSetUpPr fitToPage="1"/>
  </sheetPr>
  <dimension ref="A1:L29"/>
  <sheetViews>
    <sheetView tabSelected="1" workbookViewId="0">
      <pane xSplit="1" ySplit="4" topLeftCell="C5" activePane="bottomRight" state="frozen"/>
      <selection pane="topRight"/>
      <selection pane="bottomLeft"/>
      <selection pane="bottomRight" activeCell="B21" sqref="B21"/>
    </sheetView>
  </sheetViews>
  <sheetFormatPr defaultRowHeight="14.4" x14ac:dyDescent="0.3"/>
  <cols>
    <col min="1" max="1" width="82" customWidth="1"/>
    <col min="2" max="6" width="18" customWidth="1"/>
    <col min="7" max="7" width="52" customWidth="1"/>
    <col min="8" max="8" width="65" customWidth="1"/>
  </cols>
  <sheetData>
    <row r="1" spans="1:12" ht="22.05" customHeight="1" x14ac:dyDescent="0.4">
      <c r="A1" s="78" t="s">
        <v>600</v>
      </c>
      <c r="B1" s="78"/>
      <c r="C1" s="78"/>
      <c r="D1" s="78"/>
      <c r="E1" s="78"/>
      <c r="F1" s="78"/>
      <c r="G1" s="78"/>
      <c r="H1" s="78"/>
      <c r="I1" s="78"/>
      <c r="J1" s="78"/>
      <c r="K1" s="78"/>
      <c r="L1" s="78"/>
    </row>
    <row r="2" spans="1:12" ht="16.05" customHeight="1" x14ac:dyDescent="0.3">
      <c r="A2" s="79" t="s">
        <v>601</v>
      </c>
      <c r="B2" s="79"/>
      <c r="C2" s="79"/>
      <c r="D2" s="79"/>
      <c r="E2" s="79"/>
      <c r="F2" s="79"/>
      <c r="G2" s="79"/>
      <c r="H2" s="79"/>
      <c r="I2" s="79"/>
      <c r="J2" s="79"/>
      <c r="K2" s="79"/>
      <c r="L2" s="79"/>
    </row>
    <row r="3" spans="1:12" x14ac:dyDescent="0.3">
      <c r="A3" s="79" t="s">
        <v>602</v>
      </c>
      <c r="B3" s="79"/>
      <c r="C3" s="79"/>
      <c r="D3" s="79"/>
      <c r="E3" s="79"/>
      <c r="F3" s="79"/>
      <c r="G3" s="79"/>
      <c r="H3" s="79"/>
    </row>
    <row r="4" spans="1:12" ht="19.95" customHeight="1" x14ac:dyDescent="0.3">
      <c r="A4" s="2" t="s">
        <v>522</v>
      </c>
      <c r="B4" s="3" t="s">
        <v>209</v>
      </c>
      <c r="C4" s="3" t="s">
        <v>357</v>
      </c>
      <c r="D4" s="3" t="s">
        <v>358</v>
      </c>
      <c r="E4" s="3" t="s">
        <v>359</v>
      </c>
      <c r="F4" s="3" t="s">
        <v>212</v>
      </c>
      <c r="G4" s="3" t="s">
        <v>360</v>
      </c>
      <c r="H4" s="3" t="s">
        <v>103</v>
      </c>
    </row>
    <row r="5" spans="1:12" ht="18" customHeight="1" x14ac:dyDescent="0.3">
      <c r="A5" s="23" t="s">
        <v>603</v>
      </c>
      <c r="B5" s="23" t="s">
        <v>4</v>
      </c>
      <c r="C5" s="23" t="s">
        <v>4</v>
      </c>
      <c r="D5" s="23" t="s">
        <v>4</v>
      </c>
      <c r="E5" s="23" t="s">
        <v>4</v>
      </c>
      <c r="F5" s="23" t="s">
        <v>4</v>
      </c>
      <c r="G5" s="23" t="s">
        <v>4</v>
      </c>
      <c r="H5" s="23" t="s">
        <v>4</v>
      </c>
    </row>
    <row r="6" spans="1:12" x14ac:dyDescent="0.3">
      <c r="A6" s="4" t="s">
        <v>604</v>
      </c>
      <c r="B6" s="19">
        <f>Assumption_sbc_target_pct_of_revenue*RevTotal_FY2026</f>
        <v>158185.59103026576</v>
      </c>
      <c r="C6" s="19">
        <f>Assumption_sbc_target_pct_of_revenue*RevTotal_FY2027</f>
        <v>182523.4006967055</v>
      </c>
      <c r="D6" s="19">
        <f>Assumption_sbc_target_pct_of_revenue*RevTotal_FY2028</f>
        <v>212367.07983317267</v>
      </c>
      <c r="E6" s="19">
        <f>Assumption_sbc_target_pct_of_revenue*RevTotal_FY2029</f>
        <v>247852.26200662303</v>
      </c>
      <c r="F6" s="19">
        <f>Assumption_sbc_target_pct_of_revenue*RevTotal_FY2030</f>
        <v>289968.96699623659</v>
      </c>
      <c r="G6" s="25" t="s">
        <v>605</v>
      </c>
      <c r="H6" s="6" t="s">
        <v>606</v>
      </c>
    </row>
    <row r="7" spans="1:12" x14ac:dyDescent="0.3">
      <c r="A7" s="7" t="s">
        <v>607</v>
      </c>
      <c r="B7" s="43">
        <f>B6/RevTotal_FY2026</f>
        <v>0.13250000000000001</v>
      </c>
      <c r="C7" s="43">
        <f>C6/RevTotal_FY2027</f>
        <v>0.13250000000000001</v>
      </c>
      <c r="D7" s="43">
        <f>D6/RevTotal_FY2028</f>
        <v>0.13250000000000001</v>
      </c>
      <c r="E7" s="43">
        <f>E6/RevTotal_FY2029</f>
        <v>0.13250000000000001</v>
      </c>
      <c r="F7" s="43">
        <f>F6/RevTotal_FY2030</f>
        <v>0.13250000000000001</v>
      </c>
      <c r="G7" s="25" t="s">
        <v>608</v>
      </c>
      <c r="H7" s="6" t="s">
        <v>609</v>
      </c>
    </row>
    <row r="8" spans="1:12" x14ac:dyDescent="0.3">
      <c r="A8" s="42" t="s">
        <v>610</v>
      </c>
      <c r="B8" s="14">
        <v>0.08</v>
      </c>
      <c r="C8" s="14">
        <v>0.08</v>
      </c>
      <c r="D8" s="14">
        <v>0.08</v>
      </c>
      <c r="E8" s="14">
        <v>0.08</v>
      </c>
      <c r="F8" s="14">
        <v>0.08</v>
      </c>
      <c r="G8" s="25" t="s">
        <v>611</v>
      </c>
      <c r="H8" s="6" t="s">
        <v>612</v>
      </c>
    </row>
    <row r="10" spans="1:12" ht="18" customHeight="1" x14ac:dyDescent="0.3">
      <c r="A10" s="23" t="s">
        <v>613</v>
      </c>
      <c r="B10" s="23" t="s">
        <v>4</v>
      </c>
      <c r="C10" s="23" t="s">
        <v>4</v>
      </c>
      <c r="D10" s="23" t="s">
        <v>4</v>
      </c>
      <c r="E10" s="23" t="s">
        <v>4</v>
      </c>
      <c r="F10" s="23" t="s">
        <v>4</v>
      </c>
      <c r="G10" s="23" t="s">
        <v>4</v>
      </c>
      <c r="H10" s="23" t="s">
        <v>4</v>
      </c>
    </row>
    <row r="11" spans="1:12" x14ac:dyDescent="0.3">
      <c r="A11" s="4" t="s">
        <v>614</v>
      </c>
      <c r="B11" s="40">
        <f>Cover_SharesDiluted</f>
        <v>50061458</v>
      </c>
      <c r="C11" s="40">
        <f>Cover_SharesDiluted</f>
        <v>50061458</v>
      </c>
      <c r="D11" s="40">
        <f>Cover_SharesDiluted</f>
        <v>50061458</v>
      </c>
      <c r="E11" s="40">
        <f>Cover_SharesDiluted</f>
        <v>50061458</v>
      </c>
      <c r="F11" s="40">
        <f>Cover_SharesDiluted</f>
        <v>50061458</v>
      </c>
      <c r="G11" s="25" t="s">
        <v>615</v>
      </c>
      <c r="H11" s="6" t="s">
        <v>23</v>
      </c>
    </row>
    <row r="12" spans="1:12" x14ac:dyDescent="0.3">
      <c r="A12" s="7" t="s">
        <v>616</v>
      </c>
      <c r="B12" s="47">
        <f>Assumption_option_proceeds</f>
        <v>12570</v>
      </c>
      <c r="C12" s="47">
        <f>Assumption_option_proceeds</f>
        <v>12570</v>
      </c>
      <c r="D12" s="47">
        <f>Assumption_option_proceeds</f>
        <v>12570</v>
      </c>
      <c r="E12" s="47">
        <f>Assumption_option_proceeds</f>
        <v>12570</v>
      </c>
      <c r="F12" s="47">
        <f>Assumption_option_proceeds</f>
        <v>12570</v>
      </c>
      <c r="G12" s="25" t="s">
        <v>617</v>
      </c>
      <c r="H12" s="6" t="s">
        <v>618</v>
      </c>
    </row>
    <row r="13" spans="1:12" x14ac:dyDescent="0.3">
      <c r="A13" s="7" t="s">
        <v>619</v>
      </c>
      <c r="B13" s="47">
        <f>-Assumption_net_share_settlement_taxes</f>
        <v>-41617</v>
      </c>
      <c r="C13" s="47">
        <f>-Assumption_net_share_settlement_taxes</f>
        <v>-41617</v>
      </c>
      <c r="D13" s="47">
        <f>-Assumption_net_share_settlement_taxes</f>
        <v>-41617</v>
      </c>
      <c r="E13" s="47">
        <f>-Assumption_net_share_settlement_taxes</f>
        <v>-41617</v>
      </c>
      <c r="F13" s="47">
        <f>-Assumption_net_share_settlement_taxes</f>
        <v>-41617</v>
      </c>
      <c r="G13" s="25" t="s">
        <v>620</v>
      </c>
      <c r="H13" s="6" t="s">
        <v>621</v>
      </c>
    </row>
    <row r="14" spans="1:12" x14ac:dyDescent="0.3">
      <c r="A14" s="7" t="s">
        <v>622</v>
      </c>
      <c r="B14" s="47">
        <f>-Assumption_share_repurchases</f>
        <v>-139206</v>
      </c>
      <c r="C14" s="47">
        <f>-Assumption_share_repurchases</f>
        <v>-139206</v>
      </c>
      <c r="D14" s="47">
        <f>-Assumption_share_repurchases</f>
        <v>-139206</v>
      </c>
      <c r="E14" s="47">
        <f>-Assumption_share_repurchases</f>
        <v>-139206</v>
      </c>
      <c r="F14" s="47">
        <f>-Assumption_share_repurchases</f>
        <v>-139206</v>
      </c>
      <c r="G14" s="25" t="s">
        <v>623</v>
      </c>
      <c r="H14" s="6" t="s">
        <v>624</v>
      </c>
    </row>
    <row r="16" spans="1:12" ht="18" customHeight="1" x14ac:dyDescent="0.3">
      <c r="A16" s="23" t="s">
        <v>449</v>
      </c>
      <c r="B16" s="23" t="s">
        <v>4</v>
      </c>
      <c r="C16" s="23" t="s">
        <v>4</v>
      </c>
      <c r="D16" s="23" t="s">
        <v>4</v>
      </c>
      <c r="E16" s="23" t="s">
        <v>4</v>
      </c>
      <c r="F16" s="23" t="s">
        <v>4</v>
      </c>
      <c r="G16" s="23" t="s">
        <v>4</v>
      </c>
      <c r="H16" s="23" t="s">
        <v>4</v>
      </c>
    </row>
    <row r="17" spans="1:8" x14ac:dyDescent="0.3">
      <c r="A17" s="42" t="s">
        <v>625</v>
      </c>
      <c r="B17" s="11">
        <v>24300</v>
      </c>
      <c r="C17" s="44" t="s">
        <v>274</v>
      </c>
      <c r="D17" s="44" t="s">
        <v>274</v>
      </c>
      <c r="E17" s="44" t="s">
        <v>274</v>
      </c>
      <c r="F17" s="44" t="s">
        <v>274</v>
      </c>
      <c r="G17" s="25" t="s">
        <v>379</v>
      </c>
      <c r="H17" s="6" t="s">
        <v>626</v>
      </c>
    </row>
    <row r="18" spans="1:8" x14ac:dyDescent="0.3">
      <c r="A18" s="42" t="s">
        <v>627</v>
      </c>
      <c r="B18" s="11">
        <v>100918</v>
      </c>
      <c r="C18" s="44" t="s">
        <v>274</v>
      </c>
      <c r="D18" s="44" t="s">
        <v>274</v>
      </c>
      <c r="E18" s="44" t="s">
        <v>274</v>
      </c>
      <c r="F18" s="44" t="s">
        <v>274</v>
      </c>
      <c r="G18" s="25" t="s">
        <v>379</v>
      </c>
      <c r="H18" s="6" t="s">
        <v>628</v>
      </c>
    </row>
    <row r="20" spans="1:8" ht="18" customHeight="1" x14ac:dyDescent="0.3">
      <c r="A20" s="23" t="s">
        <v>629</v>
      </c>
      <c r="B20" s="23" t="s">
        <v>4</v>
      </c>
      <c r="C20" s="23" t="s">
        <v>4</v>
      </c>
      <c r="D20" s="23" t="s">
        <v>4</v>
      </c>
      <c r="E20" s="23" t="s">
        <v>4</v>
      </c>
      <c r="F20" s="23" t="s">
        <v>4</v>
      </c>
      <c r="G20" s="23" t="s">
        <v>4</v>
      </c>
      <c r="H20" s="23" t="s">
        <v>4</v>
      </c>
    </row>
    <row r="21" spans="1:8" x14ac:dyDescent="0.3">
      <c r="A21" s="4" t="s">
        <v>630</v>
      </c>
      <c r="B21" s="19">
        <f>Pretax_FY2026</f>
        <v>209700.68171508529</v>
      </c>
      <c r="C21" s="19">
        <f>Pretax_FY2027</f>
        <v>246354.5433851743</v>
      </c>
      <c r="D21" s="19">
        <f>Pretax_FY2028</f>
        <v>287869.01463200606</v>
      </c>
      <c r="E21" s="19">
        <f>Pretax_FY2029</f>
        <v>338212.23828027816</v>
      </c>
      <c r="F21" s="19">
        <f>Pretax_FY2030</f>
        <v>398973.93442042242</v>
      </c>
      <c r="G21" s="25" t="s">
        <v>379</v>
      </c>
      <c r="H21" s="6" t="s">
        <v>631</v>
      </c>
    </row>
    <row r="22" spans="1:8" x14ac:dyDescent="0.3">
      <c r="A22" s="4" t="s">
        <v>632</v>
      </c>
      <c r="B22" s="19">
        <f>IF(B21&gt;B18,B17+Assumption_effective_tax_rate*(B21-B18),B17)</f>
        <v>38901.355453207325</v>
      </c>
      <c r="C22" s="19">
        <f>IF(C21&gt;0,Assumption_effective_tax_rate*C21,0)</f>
        <v>33066.938585875025</v>
      </c>
      <c r="D22" s="19">
        <f>IF(D21&gt;0,Assumption_effective_tax_rate*D21,0)</f>
        <v>38639.218488981016</v>
      </c>
      <c r="E22" s="19">
        <f>IF(E21&gt;0,Assumption_effective_tax_rate*E21,0)</f>
        <v>45396.53768317034</v>
      </c>
      <c r="F22" s="19">
        <f>IF(F21&gt;0,Assumption_effective_tax_rate*F21,0)</f>
        <v>53552.276347581203</v>
      </c>
      <c r="G22" s="25" t="s">
        <v>633</v>
      </c>
      <c r="H22" s="6" t="s">
        <v>634</v>
      </c>
    </row>
    <row r="23" spans="1:8" x14ac:dyDescent="0.3">
      <c r="A23" s="7" t="s">
        <v>635</v>
      </c>
      <c r="B23" s="49">
        <f>IF(B21&lt;=0,"n/m",B22/B21)</f>
        <v>0.18550896036695558</v>
      </c>
      <c r="C23" s="49">
        <f>IF(C21&lt;=0,"n/m",C22/C21)</f>
        <v>0.13422500000000001</v>
      </c>
      <c r="D23" s="49">
        <f>IF(D21&lt;=0,"n/m",D22/D21)</f>
        <v>0.13422500000000001</v>
      </c>
      <c r="E23" s="49">
        <f>IF(E21&lt;=0,"n/m",E22/E21)</f>
        <v>0.13422500000000001</v>
      </c>
      <c r="F23" s="49">
        <f>IF(F21&lt;=0,"n/m",F22/F21)</f>
        <v>0.13422500000000001</v>
      </c>
      <c r="G23" s="25" t="s">
        <v>636</v>
      </c>
      <c r="H23" s="6" t="s">
        <v>637</v>
      </c>
    </row>
    <row r="24" spans="1:8" x14ac:dyDescent="0.3">
      <c r="A24" s="7" t="s">
        <v>638</v>
      </c>
      <c r="B24" s="48" t="str">
        <f>IF(B21-B18&gt;0,IF(ABS((B22-B17)/(B21-B18)-Assumption_effective_tax_rate)&lt;=0.000001,"OK","BREAK"),"n/m")</f>
        <v>OK</v>
      </c>
      <c r="C24" s="48" t="str">
        <f>IF(C21&gt;0,IF(ABS(C22/C21-Assumption_effective_tax_rate)&lt;=0.000001,"OK","BREAK"),"n/m")</f>
        <v>OK</v>
      </c>
      <c r="D24" s="48" t="str">
        <f>IF(D21&gt;0,IF(ABS(D22/D21-Assumption_effective_tax_rate)&lt;=0.000001,"OK","BREAK"),"n/m")</f>
        <v>OK</v>
      </c>
      <c r="E24" s="48" t="str">
        <f>IF(E21&gt;0,IF(ABS(E22/E21-Assumption_effective_tax_rate)&lt;=0.000001,"OK","BREAK"),"n/m")</f>
        <v>OK</v>
      </c>
      <c r="F24" s="48" t="str">
        <f>IF(F21&gt;0,IF(ABS(F22/F21-Assumption_effective_tax_rate)&lt;=0.000001,"OK","BREAK"),"n/m")</f>
        <v>OK</v>
      </c>
    </row>
    <row r="26" spans="1:8" ht="18" customHeight="1" x14ac:dyDescent="0.3">
      <c r="A26" s="23" t="s">
        <v>443</v>
      </c>
      <c r="B26" s="23" t="s">
        <v>4</v>
      </c>
      <c r="C26" s="23" t="s">
        <v>4</v>
      </c>
      <c r="D26" s="23" t="s">
        <v>4</v>
      </c>
      <c r="E26" s="23" t="s">
        <v>4</v>
      </c>
      <c r="F26" s="23" t="s">
        <v>4</v>
      </c>
      <c r="G26" s="23" t="s">
        <v>4</v>
      </c>
      <c r="H26" s="23" t="s">
        <v>4</v>
      </c>
    </row>
    <row r="27" spans="1:8" x14ac:dyDescent="0.3">
      <c r="A27" s="4" t="s">
        <v>639</v>
      </c>
      <c r="B27" s="48" t="str">
        <f>IF(ABS(B6-Assumption_sbc_target_pct_of_revenue*RevTotal_FY2026)&lt;=Tolerance_USD,"OK","BREAK")</f>
        <v>OK</v>
      </c>
      <c r="C27" s="48" t="str">
        <f>IF(ABS(C6-Assumption_sbc_target_pct_of_revenue*RevTotal_FY2027)&lt;=Tolerance_USD,"OK","BREAK")</f>
        <v>OK</v>
      </c>
      <c r="D27" s="48" t="str">
        <f>IF(ABS(D6-Assumption_sbc_target_pct_of_revenue*RevTotal_FY2028)&lt;=Tolerance_USD,"OK","BREAK")</f>
        <v>OK</v>
      </c>
      <c r="E27" s="48" t="str">
        <f>IF(ABS(E6-Assumption_sbc_target_pct_of_revenue*RevTotal_FY2029)&lt;=Tolerance_USD,"OK","BREAK")</f>
        <v>OK</v>
      </c>
      <c r="F27" s="48" t="str">
        <f>IF(ABS(F6-Assumption_sbc_target_pct_of_revenue*RevTotal_FY2030)&lt;=Tolerance_USD,"OK","BREAK")</f>
        <v>OK</v>
      </c>
    </row>
    <row r="28" spans="1:8" x14ac:dyDescent="0.3">
      <c r="A28" s="4" t="s">
        <v>640</v>
      </c>
      <c r="B28" s="37" t="str">
        <f>IF(ABS(B6-158185.591030265)&lt;=Tolerance_USD,"OK","BREAK")</f>
        <v>OK</v>
      </c>
      <c r="C28" s="37" t="str">
        <f>IF(ABS(C6-182523.400696705)&lt;=Tolerance_USD,"OK","BREAK")</f>
        <v>OK</v>
      </c>
      <c r="D28" s="37" t="str">
        <f>IF(ABS(D6-212367.079833172)&lt;=Tolerance_USD,"OK","BREAK")</f>
        <v>OK</v>
      </c>
      <c r="E28" s="37" t="str">
        <f>IF(ABS(E6-247852.262006623)&lt;=Tolerance_USD,"OK","BREAK")</f>
        <v>OK</v>
      </c>
      <c r="F28" s="37" t="str">
        <f>IF(ABS(F6-289968.966996236)&lt;=Tolerance_USD,"OK","BREAK")</f>
        <v>OK</v>
      </c>
    </row>
    <row r="29" spans="1:8" x14ac:dyDescent="0.3">
      <c r="A29" s="4" t="s">
        <v>641</v>
      </c>
      <c r="B29" s="37" t="str">
        <f>IF(ABS(B22-38901.3554532073)&lt;=Tolerance_USD,"OK","BREAK")</f>
        <v>OK</v>
      </c>
      <c r="C29" s="37" t="str">
        <f>IF(ABS(C22-33066.938585875)&lt;=Tolerance_USD,"OK","BREAK")</f>
        <v>OK</v>
      </c>
      <c r="D29" s="37" t="str">
        <f>IF(ABS(D22-38639.218488981)&lt;=Tolerance_USD,"OK","BREAK")</f>
        <v>OK</v>
      </c>
      <c r="E29" s="37" t="str">
        <f>IF(ABS(E22-45396.5376831703)&lt;=Tolerance_USD,"OK","BREAK")</f>
        <v>OK</v>
      </c>
      <c r="F29" s="37" t="str">
        <f>IF(ABS(F22-53552.2763475812)&lt;=Tolerance_USD,"OK","BREAK")</f>
        <v>OK</v>
      </c>
    </row>
  </sheetData>
  <sheetProtection sheet="1"/>
  <mergeCells count="3">
    <mergeCell ref="A1:L1"/>
    <mergeCell ref="A2:L2"/>
    <mergeCell ref="A3:H3"/>
  </mergeCells>
  <conditionalFormatting sqref="B24:F24">
    <cfRule type="expression" dxfId="55" priority="1">
      <formula>B24="OK"</formula>
    </cfRule>
    <cfRule type="expression" dxfId="54" priority="2">
      <formula>B24="BREAK"</formula>
    </cfRule>
  </conditionalFormatting>
  <conditionalFormatting sqref="B27:F29">
    <cfRule type="expression" dxfId="53" priority="3">
      <formula>B27="OK"</formula>
    </cfRule>
    <cfRule type="expression" dxfId="52" priority="4">
      <formula>B27="BREAK"</formula>
    </cfRule>
  </conditionalFormatting>
  <pageMargins left="0.7" right="0.7" top="0.75" bottom="0.75" header="0.3" footer="0.3"/>
  <pageSetup fitToHeight="0" orientation="landscape"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C3AED"/>
    <pageSetUpPr fitToPage="1"/>
  </sheetPr>
  <dimension ref="A1:L59"/>
  <sheetViews>
    <sheetView workbookViewId="0">
      <pane xSplit="1" ySplit="4" topLeftCell="B5" activePane="bottomRight" state="frozen"/>
      <selection pane="topRight"/>
      <selection pane="bottomLeft"/>
      <selection pane="bottomRight" activeCell="B35" sqref="B35"/>
    </sheetView>
  </sheetViews>
  <sheetFormatPr defaultRowHeight="14.4" x14ac:dyDescent="0.3"/>
  <cols>
    <col min="1" max="1" width="82" customWidth="1"/>
    <col min="2" max="6" width="18" customWidth="1"/>
    <col min="7" max="7" width="52" customWidth="1"/>
    <col min="8" max="8" width="65" customWidth="1"/>
  </cols>
  <sheetData>
    <row r="1" spans="1:12" ht="22.05" customHeight="1" x14ac:dyDescent="0.4">
      <c r="A1" s="78" t="s">
        <v>642</v>
      </c>
      <c r="B1" s="78"/>
      <c r="C1" s="78"/>
      <c r="D1" s="78"/>
      <c r="E1" s="78"/>
      <c r="F1" s="78"/>
      <c r="G1" s="78"/>
      <c r="H1" s="78"/>
      <c r="I1" s="78"/>
      <c r="J1" s="78"/>
      <c r="K1" s="78"/>
      <c r="L1" s="78"/>
    </row>
    <row r="2" spans="1:12" ht="16.05" customHeight="1" x14ac:dyDescent="0.3">
      <c r="A2" s="79" t="s">
        <v>643</v>
      </c>
      <c r="B2" s="79"/>
      <c r="C2" s="79"/>
      <c r="D2" s="79"/>
      <c r="E2" s="79"/>
      <c r="F2" s="79"/>
      <c r="G2" s="79"/>
      <c r="H2" s="79"/>
      <c r="I2" s="79"/>
      <c r="J2" s="79"/>
      <c r="K2" s="79"/>
      <c r="L2" s="79"/>
    </row>
    <row r="4" spans="1:12" ht="19.95" customHeight="1" x14ac:dyDescent="0.3">
      <c r="A4" s="2" t="s">
        <v>522</v>
      </c>
      <c r="B4" s="3" t="s">
        <v>209</v>
      </c>
      <c r="C4" s="3" t="s">
        <v>357</v>
      </c>
      <c r="D4" s="3" t="s">
        <v>358</v>
      </c>
      <c r="E4" s="3" t="s">
        <v>359</v>
      </c>
      <c r="F4" s="3" t="s">
        <v>212</v>
      </c>
      <c r="G4" s="3" t="s">
        <v>644</v>
      </c>
      <c r="H4" s="3" t="s">
        <v>103</v>
      </c>
    </row>
    <row r="5" spans="1:12" ht="18" customHeight="1" x14ac:dyDescent="0.3">
      <c r="A5" s="23" t="s">
        <v>645</v>
      </c>
      <c r="B5" s="23" t="s">
        <v>4</v>
      </c>
      <c r="C5" s="23" t="s">
        <v>4</v>
      </c>
      <c r="D5" s="23" t="s">
        <v>4</v>
      </c>
      <c r="E5" s="23" t="s">
        <v>4</v>
      </c>
      <c r="F5" s="23" t="s">
        <v>4</v>
      </c>
      <c r="G5" s="23" t="s">
        <v>4</v>
      </c>
      <c r="H5" s="23" t="s">
        <v>4</v>
      </c>
    </row>
    <row r="6" spans="1:12" x14ac:dyDescent="0.3">
      <c r="A6" s="4" t="s">
        <v>646</v>
      </c>
      <c r="B6" s="19">
        <f>RevTotal_FY2026</f>
        <v>1193853.5172095529</v>
      </c>
      <c r="C6" s="19">
        <f>RevTotal_FY2027</f>
        <v>1377535.0995977772</v>
      </c>
      <c r="D6" s="19">
        <f>RevTotal_FY2028</f>
        <v>1602770.4138352654</v>
      </c>
      <c r="E6" s="19">
        <f>RevTotal_FY2029</f>
        <v>1870583.1094839473</v>
      </c>
      <c r="F6" s="19">
        <f>RevTotal_FY2030</f>
        <v>2188445.0339338607</v>
      </c>
      <c r="G6" s="25" t="s">
        <v>647</v>
      </c>
      <c r="H6" s="6" t="s">
        <v>648</v>
      </c>
    </row>
    <row r="7" spans="1:12" x14ac:dyDescent="0.3">
      <c r="A7" s="34" t="s">
        <v>649</v>
      </c>
      <c r="B7" s="47">
        <f>CostOfRev_FY2026</f>
        <v>328154.5894339896</v>
      </c>
      <c r="C7" s="47">
        <f>CostOfRev_FY2027</f>
        <v>382533.23194770515</v>
      </c>
      <c r="D7" s="47">
        <f>CostOfRev_FY2028</f>
        <v>445079.72729957022</v>
      </c>
      <c r="E7" s="47">
        <f>CostOfRev_FY2029</f>
        <v>519449.70600503526</v>
      </c>
      <c r="F7" s="47">
        <f>CostOfRev_FY2030</f>
        <v>607718.05525322945</v>
      </c>
      <c r="G7" s="25" t="s">
        <v>650</v>
      </c>
      <c r="H7" s="6" t="s">
        <v>651</v>
      </c>
    </row>
    <row r="8" spans="1:12" x14ac:dyDescent="0.3">
      <c r="A8" s="4" t="s">
        <v>282</v>
      </c>
      <c r="B8" s="20">
        <f>B6-B7</f>
        <v>865698.92777556332</v>
      </c>
      <c r="C8" s="20">
        <f>C6-C7</f>
        <v>995001.86765007209</v>
      </c>
      <c r="D8" s="20">
        <f>D6-D7</f>
        <v>1157690.6865356951</v>
      </c>
      <c r="E8" s="20">
        <f>E6-E7</f>
        <v>1351133.4034789121</v>
      </c>
      <c r="F8" s="20">
        <f>F6-F7</f>
        <v>1580726.9786806311</v>
      </c>
      <c r="G8" s="25" t="s">
        <v>652</v>
      </c>
      <c r="H8" s="6" t="s">
        <v>653</v>
      </c>
    </row>
    <row r="9" spans="1:12" x14ac:dyDescent="0.3">
      <c r="A9" s="34" t="s">
        <v>469</v>
      </c>
      <c r="B9" s="41">
        <f>B8/B6</f>
        <v>0.72512993872062292</v>
      </c>
      <c r="C9" s="41">
        <f>C8/C6</f>
        <v>0.722306</v>
      </c>
      <c r="D9" s="41">
        <f>D8/D6</f>
        <v>0.72230599999999989</v>
      </c>
      <c r="E9" s="41">
        <f>E8/E6</f>
        <v>0.722306</v>
      </c>
      <c r="F9" s="41">
        <f>F8/F6</f>
        <v>0.722306</v>
      </c>
      <c r="G9" s="25" t="s">
        <v>654</v>
      </c>
      <c r="H9" s="6" t="s">
        <v>655</v>
      </c>
    </row>
    <row r="11" spans="1:12" ht="18" customHeight="1" x14ac:dyDescent="0.3">
      <c r="A11" s="23" t="s">
        <v>656</v>
      </c>
      <c r="B11" s="23" t="s">
        <v>4</v>
      </c>
      <c r="C11" s="23" t="s">
        <v>4</v>
      </c>
      <c r="D11" s="23" t="s">
        <v>4</v>
      </c>
      <c r="E11" s="23" t="s">
        <v>4</v>
      </c>
      <c r="F11" s="23" t="s">
        <v>4</v>
      </c>
      <c r="G11" s="23" t="s">
        <v>4</v>
      </c>
      <c r="H11" s="23" t="s">
        <v>4</v>
      </c>
    </row>
    <row r="12" spans="1:12" x14ac:dyDescent="0.3">
      <c r="A12" s="34" t="s">
        <v>283</v>
      </c>
      <c r="B12" s="47">
        <f>Opex_RD_FY2026</f>
        <v>353317.96832570748</v>
      </c>
      <c r="C12" s="47">
        <f>Opex_RD_FY2027</f>
        <v>406684.17731385335</v>
      </c>
      <c r="D12" s="47">
        <f>Opex_RD_FY2028</f>
        <v>473179.49819493009</v>
      </c>
      <c r="E12" s="47">
        <f>Opex_RD_FY2029</f>
        <v>552244.7690805078</v>
      </c>
      <c r="F12" s="47">
        <f>Opex_RD_FY2030</f>
        <v>646085.87358815793</v>
      </c>
      <c r="G12" s="25" t="s">
        <v>657</v>
      </c>
      <c r="H12" s="6" t="s">
        <v>658</v>
      </c>
    </row>
    <row r="13" spans="1:12" x14ac:dyDescent="0.3">
      <c r="A13" s="34" t="s">
        <v>284</v>
      </c>
      <c r="B13" s="47">
        <f>Opex_SM_FY2026</f>
        <v>152346.16021448988</v>
      </c>
      <c r="C13" s="47">
        <f>Opex_SM_FY2027</f>
        <v>166852.56140368117</v>
      </c>
      <c r="D13" s="47">
        <f>Opex_SM_FY2028</f>
        <v>194133.96360538268</v>
      </c>
      <c r="E13" s="47">
        <f>Opex_SM_FY2029</f>
        <v>226572.50855313361</v>
      </c>
      <c r="F13" s="47">
        <f>Opex_SM_FY2030</f>
        <v>265073.21629020496</v>
      </c>
      <c r="G13" s="25" t="s">
        <v>659</v>
      </c>
      <c r="H13" s="6" t="s">
        <v>660</v>
      </c>
    </row>
    <row r="14" spans="1:12" x14ac:dyDescent="0.3">
      <c r="A14" s="34" t="s">
        <v>285</v>
      </c>
      <c r="B14" s="47">
        <f>Opex_GA_FY2026</f>
        <v>202719.51340180021</v>
      </c>
      <c r="C14" s="47">
        <f>Opex_GA_FY2027</f>
        <v>241479.14788929117</v>
      </c>
      <c r="D14" s="47">
        <f>Opex_GA_FY2028</f>
        <v>280962.44800449436</v>
      </c>
      <c r="E14" s="47">
        <f>Opex_GA_FY2029</f>
        <v>327909.47792631702</v>
      </c>
      <c r="F14" s="47">
        <f>Opex_GA_FY2030</f>
        <v>383630.03755853791</v>
      </c>
      <c r="G14" s="25" t="s">
        <v>661</v>
      </c>
      <c r="H14" s="6" t="s">
        <v>662</v>
      </c>
    </row>
    <row r="15" spans="1:12" x14ac:dyDescent="0.3">
      <c r="A15" s="4" t="s">
        <v>286</v>
      </c>
      <c r="B15" s="20">
        <f>B12+B13+B14</f>
        <v>708383.64194199757</v>
      </c>
      <c r="C15" s="20">
        <f>C12+C13+C14</f>
        <v>815015.88660682575</v>
      </c>
      <c r="D15" s="20">
        <f>D12+D13+D14</f>
        <v>948275.90980480704</v>
      </c>
      <c r="E15" s="20">
        <f>E12+E13+E14</f>
        <v>1106726.7555599585</v>
      </c>
      <c r="F15" s="20">
        <f>F12+F13+F14</f>
        <v>1294789.1274369007</v>
      </c>
      <c r="G15" s="25" t="s">
        <v>484</v>
      </c>
      <c r="H15" s="6" t="s">
        <v>663</v>
      </c>
    </row>
    <row r="16" spans="1:12" x14ac:dyDescent="0.3">
      <c r="A16" s="4" t="s">
        <v>487</v>
      </c>
      <c r="B16" s="20">
        <f>B8-B15</f>
        <v>157315.28583356575</v>
      </c>
      <c r="C16" s="20">
        <f>C8-C15</f>
        <v>179985.98104324634</v>
      </c>
      <c r="D16" s="20">
        <f>D8-D15</f>
        <v>209414.77673088806</v>
      </c>
      <c r="E16" s="20">
        <f>E8-E15</f>
        <v>244406.64791895356</v>
      </c>
      <c r="F16" s="20">
        <f>F8-F15</f>
        <v>285937.8512437304</v>
      </c>
      <c r="G16" s="25" t="s">
        <v>664</v>
      </c>
      <c r="H16" s="6" t="s">
        <v>665</v>
      </c>
    </row>
    <row r="17" spans="1:8" x14ac:dyDescent="0.3">
      <c r="A17" s="34" t="s">
        <v>490</v>
      </c>
      <c r="B17" s="41">
        <f>B16/B6</f>
        <v>0.13177101174126102</v>
      </c>
      <c r="C17" s="41">
        <f>C16/C6</f>
        <v>0.13065799999999997</v>
      </c>
      <c r="D17" s="41">
        <f>D16/D6</f>
        <v>0.13065799999999997</v>
      </c>
      <c r="E17" s="41">
        <f>E16/E6</f>
        <v>0.130658</v>
      </c>
      <c r="F17" s="41">
        <f>F16/F6</f>
        <v>0.13065800000000002</v>
      </c>
      <c r="G17" s="25" t="s">
        <v>666</v>
      </c>
      <c r="H17" s="6" t="s">
        <v>667</v>
      </c>
    </row>
    <row r="19" spans="1:8" ht="18" customHeight="1" x14ac:dyDescent="0.3">
      <c r="A19" s="23" t="s">
        <v>668</v>
      </c>
      <c r="B19" s="23" t="s">
        <v>4</v>
      </c>
      <c r="C19" s="23" t="s">
        <v>4</v>
      </c>
      <c r="D19" s="23" t="s">
        <v>4</v>
      </c>
      <c r="E19" s="23" t="s">
        <v>4</v>
      </c>
      <c r="F19" s="23" t="s">
        <v>4</v>
      </c>
      <c r="G19" s="23" t="s">
        <v>4</v>
      </c>
      <c r="H19" s="23" t="s">
        <v>4</v>
      </c>
    </row>
    <row r="20" spans="1:8" x14ac:dyDescent="0.3">
      <c r="A20" s="34" t="s">
        <v>492</v>
      </c>
      <c r="B20" s="47">
        <f>OtherIncome_FY2026</f>
        <v>-260.07616580798333</v>
      </c>
      <c r="C20" s="47">
        <f>OtherIncome_FY2027</f>
        <v>2136.5569394761528</v>
      </c>
      <c r="D20" s="47">
        <f>OtherIncome_FY2028</f>
        <v>2485.8969118584969</v>
      </c>
      <c r="E20" s="47">
        <f>OtherIncome_FY2029</f>
        <v>2901.2744028096022</v>
      </c>
      <c r="F20" s="47">
        <f>OtherIncome_FY2030</f>
        <v>3394.2782476314183</v>
      </c>
      <c r="G20" s="25" t="s">
        <v>669</v>
      </c>
      <c r="H20" s="6" t="s">
        <v>670</v>
      </c>
    </row>
    <row r="21" spans="1:8" x14ac:dyDescent="0.3">
      <c r="A21" s="34" t="s">
        <v>291</v>
      </c>
      <c r="B21" s="36">
        <f>IS_InterestSolve_FY2026</f>
        <v>52645.472047327523</v>
      </c>
      <c r="C21" s="36">
        <f>IS_InterestSolve_FY2027</f>
        <v>64232.00540245181</v>
      </c>
      <c r="D21" s="36">
        <f>IS_InterestSolve_FY2028</f>
        <v>75968.340989259479</v>
      </c>
      <c r="E21" s="36">
        <f>IS_InterestSolve_FY2029</f>
        <v>90904.315958515013</v>
      </c>
      <c r="F21" s="36">
        <f>IS_InterestSolve_FY2030</f>
        <v>109641.80492906057</v>
      </c>
      <c r="G21" s="25" t="s">
        <v>671</v>
      </c>
      <c r="H21" s="6" t="s">
        <v>672</v>
      </c>
    </row>
    <row r="22" spans="1:8" x14ac:dyDescent="0.3">
      <c r="A22" s="4" t="s">
        <v>673</v>
      </c>
      <c r="B22" s="20">
        <f>B16+B20+B21</f>
        <v>209700.68171508529</v>
      </c>
      <c r="C22" s="20">
        <f>C16+C20+C21</f>
        <v>246354.5433851743</v>
      </c>
      <c r="D22" s="20">
        <f>D16+D20+D21</f>
        <v>287869.01463200606</v>
      </c>
      <c r="E22" s="20">
        <f>E16+E20+E21</f>
        <v>338212.23828027816</v>
      </c>
      <c r="F22" s="20">
        <f>F16+F20+F21</f>
        <v>398973.93442042242</v>
      </c>
      <c r="G22" s="25" t="s">
        <v>674</v>
      </c>
      <c r="H22" s="6" t="s">
        <v>675</v>
      </c>
    </row>
    <row r="23" spans="1:8" x14ac:dyDescent="0.3">
      <c r="A23" s="34" t="s">
        <v>676</v>
      </c>
      <c r="B23" s="47">
        <f>TaxProv_FY2026</f>
        <v>38901.355453207325</v>
      </c>
      <c r="C23" s="47">
        <f>TaxProv_FY2027</f>
        <v>33066.938585875025</v>
      </c>
      <c r="D23" s="47">
        <f>TaxProv_FY2028</f>
        <v>38639.218488981016</v>
      </c>
      <c r="E23" s="47">
        <f>TaxProv_FY2029</f>
        <v>45396.53768317034</v>
      </c>
      <c r="F23" s="47">
        <f>TaxProv_FY2030</f>
        <v>53552.276347581203</v>
      </c>
      <c r="G23" s="25" t="s">
        <v>677</v>
      </c>
      <c r="H23" s="6" t="s">
        <v>678</v>
      </c>
    </row>
    <row r="24" spans="1:8" x14ac:dyDescent="0.3">
      <c r="A24" s="4" t="s">
        <v>679</v>
      </c>
      <c r="B24" s="20">
        <f>B22-B23</f>
        <v>170799.32626187796</v>
      </c>
      <c r="C24" s="20">
        <f>C22-C23</f>
        <v>213287.60479929927</v>
      </c>
      <c r="D24" s="20">
        <f>D22-D23</f>
        <v>249229.79614302504</v>
      </c>
      <c r="E24" s="20">
        <f>E22-E23</f>
        <v>292815.70059710782</v>
      </c>
      <c r="F24" s="20">
        <f>F22-F23</f>
        <v>345421.65807284124</v>
      </c>
      <c r="G24" s="25" t="s">
        <v>680</v>
      </c>
      <c r="H24" s="6" t="s">
        <v>681</v>
      </c>
    </row>
    <row r="25" spans="1:8" x14ac:dyDescent="0.3">
      <c r="A25" s="34" t="s">
        <v>682</v>
      </c>
      <c r="B25" s="41">
        <f>B24/B6</f>
        <v>0.14306556357189854</v>
      </c>
      <c r="C25" s="41">
        <f>C24/C6</f>
        <v>0.15483279145596837</v>
      </c>
      <c r="D25" s="41">
        <f>D24/D6</f>
        <v>0.15549937407856418</v>
      </c>
      <c r="E25" s="41">
        <f>E24/E6</f>
        <v>0.15653712423282237</v>
      </c>
      <c r="F25" s="41">
        <f>F24/F6</f>
        <v>0.15783885485664914</v>
      </c>
      <c r="G25" s="25" t="s">
        <v>683</v>
      </c>
      <c r="H25" s="6" t="s">
        <v>684</v>
      </c>
    </row>
    <row r="27" spans="1:8" ht="18" customHeight="1" x14ac:dyDescent="0.3">
      <c r="A27" s="23" t="s">
        <v>685</v>
      </c>
      <c r="B27" s="23" t="s">
        <v>4</v>
      </c>
      <c r="C27" s="23" t="s">
        <v>4</v>
      </c>
      <c r="D27" s="23" t="s">
        <v>4</v>
      </c>
      <c r="E27" s="23" t="s">
        <v>4</v>
      </c>
      <c r="F27" s="23" t="s">
        <v>4</v>
      </c>
      <c r="G27" s="23" t="s">
        <v>4</v>
      </c>
      <c r="H27" s="23" t="s">
        <v>4</v>
      </c>
    </row>
    <row r="28" spans="1:8" x14ac:dyDescent="0.3">
      <c r="A28" s="34" t="s">
        <v>686</v>
      </c>
      <c r="B28" s="47">
        <f>BS_Cash_Q2FY26</f>
        <v>1180887</v>
      </c>
      <c r="C28" s="47">
        <f>CF_EndCash_FY2026</f>
        <v>1235194.973501334</v>
      </c>
      <c r="D28" s="47">
        <f>CF_EndCash_FY2027</f>
        <v>1490753.4131908091</v>
      </c>
      <c r="E28" s="47">
        <f>CF_EndCash_FY2028</f>
        <v>1819397.4467738227</v>
      </c>
      <c r="F28" s="47">
        <f>CF_EndCash_FY2029</f>
        <v>2234225.1257399283</v>
      </c>
      <c r="G28" s="25" t="s">
        <v>687</v>
      </c>
      <c r="H28" s="6" t="s">
        <v>688</v>
      </c>
    </row>
    <row r="29" spans="1:8" x14ac:dyDescent="0.3">
      <c r="A29" s="34" t="s">
        <v>689</v>
      </c>
      <c r="B29" s="11">
        <v>78472</v>
      </c>
      <c r="C29" s="44" t="s">
        <v>274</v>
      </c>
      <c r="D29" s="44" t="s">
        <v>274</v>
      </c>
      <c r="E29" s="44" t="s">
        <v>274</v>
      </c>
      <c r="F29" s="44" t="s">
        <v>274</v>
      </c>
      <c r="G29" s="25" t="s">
        <v>690</v>
      </c>
      <c r="H29" s="6" t="s">
        <v>691</v>
      </c>
    </row>
    <row r="30" spans="1:8" x14ac:dyDescent="0.3">
      <c r="A30" s="34" t="s">
        <v>692</v>
      </c>
      <c r="B30" s="11">
        <v>-1196</v>
      </c>
      <c r="C30" s="44" t="s">
        <v>274</v>
      </c>
      <c r="D30" s="44" t="s">
        <v>274</v>
      </c>
      <c r="E30" s="44" t="s">
        <v>274</v>
      </c>
      <c r="F30" s="44" t="s">
        <v>274</v>
      </c>
      <c r="G30" s="25" t="s">
        <v>693</v>
      </c>
      <c r="H30" s="6" t="s">
        <v>694</v>
      </c>
    </row>
    <row r="31" spans="1:8" x14ac:dyDescent="0.3">
      <c r="A31" s="34" t="s">
        <v>695</v>
      </c>
      <c r="B31" s="36">
        <f>B16-IS_EBIT_H1_Cited</f>
        <v>78843.285833565751</v>
      </c>
      <c r="C31" s="36">
        <f>C16</f>
        <v>179985.98104324634</v>
      </c>
      <c r="D31" s="36">
        <f>D16</f>
        <v>209414.77673088806</v>
      </c>
      <c r="E31" s="36">
        <f>E16</f>
        <v>244406.64791895356</v>
      </c>
      <c r="F31" s="36">
        <f>F16</f>
        <v>285937.8512437304</v>
      </c>
      <c r="G31" s="25" t="s">
        <v>696</v>
      </c>
      <c r="H31" s="6" t="s">
        <v>697</v>
      </c>
    </row>
    <row r="32" spans="1:8" x14ac:dyDescent="0.3">
      <c r="A32" s="34" t="s">
        <v>698</v>
      </c>
      <c r="B32" s="36">
        <f>B20-IS_Other_H1_Cited</f>
        <v>935.92383419201667</v>
      </c>
      <c r="C32" s="36">
        <f>C20</f>
        <v>2136.5569394761528</v>
      </c>
      <c r="D32" s="36">
        <f>D20</f>
        <v>2485.8969118584969</v>
      </c>
      <c r="E32" s="36">
        <f>E20</f>
        <v>2901.2744028096022</v>
      </c>
      <c r="F32" s="36">
        <f>F20</f>
        <v>3394.2782476314183</v>
      </c>
      <c r="G32" s="25" t="s">
        <v>699</v>
      </c>
      <c r="H32" s="6" t="s">
        <v>700</v>
      </c>
    </row>
    <row r="33" spans="1:8" x14ac:dyDescent="0.3">
      <c r="A33" s="34" t="s">
        <v>701</v>
      </c>
      <c r="B33" s="36">
        <f>(B31+B32)*(1-Assumption_effective_tax_rate)</f>
        <v>69070.845250102982</v>
      </c>
      <c r="C33" s="36">
        <f>(C31+C32)*(1-Assumption_effective_tax_rate)</f>
        <v>157677.14032199155</v>
      </c>
      <c r="D33" s="36">
        <f>(D31+D32)*(1-Assumption_effective_tax_rate)</f>
        <v>183458.30572304889</v>
      </c>
      <c r="E33" s="36">
        <f>(E31+E32)*(1-Assumption_effective_tax_rate)</f>
        <v>214113.01644812449</v>
      </c>
      <c r="F33" s="36">
        <f>(F31+F32)*(1-Assumption_effective_tax_rate)</f>
        <v>250496.5244103838</v>
      </c>
      <c r="G33" s="25" t="s">
        <v>702</v>
      </c>
      <c r="H33" s="6" t="s">
        <v>703</v>
      </c>
    </row>
    <row r="34" spans="1:8" x14ac:dyDescent="0.3">
      <c r="A34" s="34" t="s">
        <v>704</v>
      </c>
      <c r="B34" s="47">
        <f>DepBasis_FY2026+AmortBasis_FY2026</f>
        <v>8297.2819446063932</v>
      </c>
      <c r="C34" s="47">
        <f>DepBasis_FY2027+AmortBasis_FY2027</f>
        <v>19147.737884409104</v>
      </c>
      <c r="D34" s="47">
        <f>DepBasis_FY2028+AmortBasis_FY2028</f>
        <v>22278.50875231019</v>
      </c>
      <c r="E34" s="47">
        <f>DepBasis_FY2029+AmortBasis_FY2029</f>
        <v>26001.105221826867</v>
      </c>
      <c r="F34" s="47">
        <f>DepBasis_FY2030+AmortBasis_FY2030</f>
        <v>30419.385971680662</v>
      </c>
      <c r="G34" s="25" t="s">
        <v>705</v>
      </c>
      <c r="H34" s="6" t="s">
        <v>706</v>
      </c>
    </row>
    <row r="35" spans="1:8" x14ac:dyDescent="0.3">
      <c r="A35" s="34" t="s">
        <v>707</v>
      </c>
      <c r="B35" s="47">
        <f>SBCBasis_FY2026</f>
        <v>79092.795515132879</v>
      </c>
      <c r="C35" s="47">
        <f>SBCBasis_FY2027</f>
        <v>182523.4006967055</v>
      </c>
      <c r="D35" s="47">
        <f>SBCBasis_FY2028</f>
        <v>212367.07983317267</v>
      </c>
      <c r="E35" s="47">
        <f>SBCBasis_FY2029</f>
        <v>247852.26200662303</v>
      </c>
      <c r="F35" s="47">
        <f>SBCBasis_FY2030</f>
        <v>289968.96699623659</v>
      </c>
      <c r="G35" s="25" t="s">
        <v>708</v>
      </c>
      <c r="H35" s="6" t="s">
        <v>709</v>
      </c>
    </row>
    <row r="36" spans="1:8" x14ac:dyDescent="0.3">
      <c r="A36" s="34" t="s">
        <v>710</v>
      </c>
      <c r="B36" s="36">
        <f>NWC_FY2026-NWC_Opening_Q2FY26</f>
        <v>27378.063793117122</v>
      </c>
      <c r="C36" s="36">
        <f>NWC_FY2027-NWC_FY2026</f>
        <v>-45219.622938442568</v>
      </c>
      <c r="D36" s="36">
        <f>NWC_FY2028-NWC_FY2027</f>
        <v>-55334.787779756822</v>
      </c>
      <c r="E36" s="36">
        <f>NWC_FY2029-NWC_FY2028</f>
        <v>-65795.005230924464</v>
      </c>
      <c r="F36" s="36">
        <f>NWC_FY2030-NWC_FY2029</f>
        <v>-78090.872171827243</v>
      </c>
      <c r="G36" s="25" t="s">
        <v>711</v>
      </c>
      <c r="H36" s="6" t="s">
        <v>712</v>
      </c>
    </row>
    <row r="37" spans="1:8" x14ac:dyDescent="0.3">
      <c r="A37" s="34" t="s">
        <v>713</v>
      </c>
      <c r="B37" s="36">
        <f>B33+B34+B35-B36</f>
        <v>129082.85891672515</v>
      </c>
      <c r="C37" s="36">
        <f>C33+C34+C35-C36</f>
        <v>404567.90184154874</v>
      </c>
      <c r="D37" s="36">
        <f>D33+D34+D35-D36</f>
        <v>473438.68208828859</v>
      </c>
      <c r="E37" s="36">
        <f>E33+E34+E35-E36</f>
        <v>553761.38890749891</v>
      </c>
      <c r="F37" s="36">
        <f>F33+F34+F35-F36</f>
        <v>648975.74955012824</v>
      </c>
      <c r="G37" s="25" t="s">
        <v>714</v>
      </c>
      <c r="H37" s="6" t="s">
        <v>715</v>
      </c>
    </row>
    <row r="38" spans="1:8" x14ac:dyDescent="0.3">
      <c r="A38" s="34" t="s">
        <v>716</v>
      </c>
      <c r="B38" s="47">
        <f>-(CapexPPEBasis_FY2026+CapSoftBasis_FY2026)</f>
        <v>-15758.866427166098</v>
      </c>
      <c r="C38" s="47">
        <f>-(CapexPPEBasis_FY2027+CapSoftBasis_FY2027)</f>
        <v>-36366.926629381313</v>
      </c>
      <c r="D38" s="47">
        <f>-(CapexPPEBasis_FY2028+CapSoftBasis_FY2028)</f>
        <v>-42313.138925251005</v>
      </c>
      <c r="E38" s="47">
        <f>-(CapexPPEBasis_FY2029+CapSoftBasis_FY2029)</f>
        <v>-49383.394090376205</v>
      </c>
      <c r="F38" s="47">
        <f>-(CapexPPEBasis_FY2030+CapSoftBasis_FY2030)</f>
        <v>-57774.948895853922</v>
      </c>
      <c r="G38" s="25" t="s">
        <v>717</v>
      </c>
      <c r="H38" s="6" t="s">
        <v>718</v>
      </c>
    </row>
    <row r="39" spans="1:8" x14ac:dyDescent="0.3">
      <c r="A39" s="34" t="s">
        <v>719</v>
      </c>
      <c r="B39" s="47">
        <f>OptionBasis_FY2026+SettlementBasis_FY2026+BuybackBasis_FY2026</f>
        <v>-84126.5</v>
      </c>
      <c r="C39" s="47">
        <f>OptionBasis_FY2027+SettlementBasis_FY2027+BuybackBasis_FY2027</f>
        <v>-168253</v>
      </c>
      <c r="D39" s="47">
        <f>OptionBasis_FY2028+SettlementBasis_FY2028+BuybackBasis_FY2028</f>
        <v>-168253</v>
      </c>
      <c r="E39" s="47">
        <f>OptionBasis_FY2029+SettlementBasis_FY2029+BuybackBasis_FY2029</f>
        <v>-168253</v>
      </c>
      <c r="F39" s="47">
        <f>OptionBasis_FY2030+SettlementBasis_FY2030+BuybackBasis_FY2030</f>
        <v>-168253</v>
      </c>
      <c r="G39" s="25" t="s">
        <v>720</v>
      </c>
      <c r="H39" s="6" t="s">
        <v>721</v>
      </c>
    </row>
    <row r="40" spans="1:8" x14ac:dyDescent="0.3">
      <c r="A40" s="34" t="s">
        <v>722</v>
      </c>
      <c r="B40" s="36">
        <f>B37+B38+B39</f>
        <v>29197.492489559052</v>
      </c>
      <c r="C40" s="36">
        <f>C37+C38+C39</f>
        <v>199947.97521216742</v>
      </c>
      <c r="D40" s="36">
        <f>D37+D38+D39</f>
        <v>262872.54316303757</v>
      </c>
      <c r="E40" s="36">
        <f>E37+E38+E39</f>
        <v>336124.9948171227</v>
      </c>
      <c r="F40" s="36">
        <f>F37+F38+F39</f>
        <v>422947.8006542743</v>
      </c>
      <c r="G40" s="25" t="s">
        <v>723</v>
      </c>
      <c r="H40" s="6" t="s">
        <v>724</v>
      </c>
    </row>
    <row r="41" spans="1:8" x14ac:dyDescent="0.3">
      <c r="A41" s="34" t="s">
        <v>725</v>
      </c>
      <c r="B41" s="36">
        <f>B28+B40</f>
        <v>1210084.4924895591</v>
      </c>
      <c r="C41" s="36">
        <f>C28+C40</f>
        <v>1435142.9487135014</v>
      </c>
      <c r="D41" s="36">
        <f>D28+D40</f>
        <v>1753625.9563538467</v>
      </c>
      <c r="E41" s="36">
        <f>E28+E40</f>
        <v>2155522.4415909452</v>
      </c>
      <c r="F41" s="36">
        <f>F28+F40</f>
        <v>2657172.9263942027</v>
      </c>
      <c r="G41" s="25" t="s">
        <v>726</v>
      </c>
      <c r="H41" s="6" t="s">
        <v>727</v>
      </c>
    </row>
    <row r="42" spans="1:8" x14ac:dyDescent="0.3">
      <c r="A42" s="34" t="s">
        <v>728</v>
      </c>
      <c r="B42" s="36">
        <f>B28+BS_STI_Q2FY26+BS_LTI_Q2FY26</f>
        <v>1416559</v>
      </c>
      <c r="C42" s="36">
        <f>C28+BS_STI_Q2FY26+BS_LTI_Q2FY26</f>
        <v>1470866.973501334</v>
      </c>
      <c r="D42" s="36">
        <f>D28+BS_STI_Q2FY26+BS_LTI_Q2FY26</f>
        <v>1726425.4131908091</v>
      </c>
      <c r="E42" s="36">
        <f>E28+BS_STI_Q2FY26+BS_LTI_Q2FY26</f>
        <v>2055069.4467738227</v>
      </c>
      <c r="F42" s="36">
        <f>F28+BS_STI_Q2FY26+BS_LTI_Q2FY26</f>
        <v>2469897.1257399283</v>
      </c>
      <c r="G42" s="25" t="s">
        <v>729</v>
      </c>
      <c r="H42" s="6" t="s">
        <v>730</v>
      </c>
    </row>
    <row r="43" spans="1:8" x14ac:dyDescent="0.3">
      <c r="A43" s="34" t="s">
        <v>731</v>
      </c>
      <c r="B43" s="36">
        <f>(B42+B41+BS_STI_Q2FY26+BS_LTI_Q2FY26)/2</f>
        <v>1431157.7462447796</v>
      </c>
      <c r="C43" s="36">
        <f>(C42+C41+BS_STI_Q2FY26+BS_LTI_Q2FY26)/2</f>
        <v>1570840.9611074177</v>
      </c>
      <c r="D43" s="36">
        <f>(D42+D41+BS_STI_Q2FY26+BS_LTI_Q2FY26)/2</f>
        <v>1857861.684772328</v>
      </c>
      <c r="E43" s="36">
        <f>(E42+E41+BS_STI_Q2FY26+BS_LTI_Q2FY26)/2</f>
        <v>2223131.9441823838</v>
      </c>
      <c r="F43" s="36">
        <f>(F42+F41+BS_STI_Q2FY26+BS_LTI_Q2FY26)/2</f>
        <v>2681371.0260670655</v>
      </c>
      <c r="G43" s="25" t="s">
        <v>732</v>
      </c>
      <c r="H43" s="6" t="s">
        <v>733</v>
      </c>
    </row>
    <row r="44" spans="1:8" x14ac:dyDescent="0.3">
      <c r="A44" s="34" t="s">
        <v>734</v>
      </c>
      <c r="B44" s="50">
        <f>Assumption_interest_income_rate/2</f>
        <v>2.00895E-2</v>
      </c>
      <c r="C44" s="50">
        <f>Assumption_interest_income_rate/1</f>
        <v>4.0178999999999999E-2</v>
      </c>
      <c r="D44" s="50">
        <f>Assumption_interest_income_rate/1</f>
        <v>4.0178999999999999E-2</v>
      </c>
      <c r="E44" s="50">
        <f>Assumption_interest_income_rate/1</f>
        <v>4.0178999999999999E-2</v>
      </c>
      <c r="F44" s="50">
        <f>Assumption_interest_income_rate/1</f>
        <v>4.0178999999999999E-2</v>
      </c>
      <c r="G44" s="25" t="s">
        <v>735</v>
      </c>
      <c r="H44" s="6" t="s">
        <v>736</v>
      </c>
    </row>
    <row r="45" spans="1:8" x14ac:dyDescent="0.3">
      <c r="A45" s="51" t="s">
        <v>737</v>
      </c>
      <c r="B45" s="20">
        <f>B44*B43/(1-B44*(1-Assumption_effective_tax_rate)/2)</f>
        <v>29003.472047327523</v>
      </c>
      <c r="C45" s="20">
        <f>C44*C43/(1-C44*(1-Assumption_effective_tax_rate)/2)</f>
        <v>64232.00540245181</v>
      </c>
      <c r="D45" s="20">
        <f>D44*D43/(1-D44*(1-Assumption_effective_tax_rate)/2)</f>
        <v>75968.340989259479</v>
      </c>
      <c r="E45" s="20">
        <f>E44*E43/(1-E44*(1-Assumption_effective_tax_rate)/2)</f>
        <v>90904.315958515013</v>
      </c>
      <c r="F45" s="20">
        <f>F44*F43/(1-F44*(1-Assumption_effective_tax_rate)/2)</f>
        <v>109641.80492906057</v>
      </c>
      <c r="G45" s="25" t="s">
        <v>738</v>
      </c>
      <c r="H45" s="6" t="s">
        <v>739</v>
      </c>
    </row>
    <row r="46" spans="1:8" x14ac:dyDescent="0.3">
      <c r="A46" s="34" t="s">
        <v>740</v>
      </c>
      <c r="B46" s="11">
        <v>23642</v>
      </c>
      <c r="C46" s="44" t="s">
        <v>274</v>
      </c>
      <c r="D46" s="44" t="s">
        <v>274</v>
      </c>
      <c r="E46" s="44" t="s">
        <v>274</v>
      </c>
      <c r="F46" s="44" t="s">
        <v>274</v>
      </c>
      <c r="G46" s="25" t="s">
        <v>741</v>
      </c>
      <c r="H46" s="6" t="s">
        <v>742</v>
      </c>
    </row>
    <row r="47" spans="1:8" x14ac:dyDescent="0.3">
      <c r="A47" s="51" t="s">
        <v>743</v>
      </c>
      <c r="B47" s="20">
        <f>B45+B46</f>
        <v>52645.472047327523</v>
      </c>
      <c r="C47" s="20">
        <f>C45</f>
        <v>64232.00540245181</v>
      </c>
      <c r="D47" s="20">
        <f>D45</f>
        <v>75968.340989259479</v>
      </c>
      <c r="E47" s="20">
        <f>E45</f>
        <v>90904.315958515013</v>
      </c>
      <c r="F47" s="20">
        <f>F45</f>
        <v>109641.80492906057</v>
      </c>
      <c r="G47" s="25" t="s">
        <v>744</v>
      </c>
      <c r="H47" s="6" t="s">
        <v>745</v>
      </c>
    </row>
    <row r="48" spans="1:8" x14ac:dyDescent="0.3">
      <c r="A48" s="34" t="s">
        <v>746</v>
      </c>
      <c r="B48" s="11">
        <v>76618</v>
      </c>
      <c r="C48" s="44" t="s">
        <v>274</v>
      </c>
      <c r="D48" s="44" t="s">
        <v>274</v>
      </c>
      <c r="E48" s="44" t="s">
        <v>274</v>
      </c>
      <c r="F48" s="44" t="s">
        <v>274</v>
      </c>
      <c r="G48" s="25" t="s">
        <v>747</v>
      </c>
      <c r="H48" s="6" t="s">
        <v>748</v>
      </c>
    </row>
    <row r="49" spans="1:8" x14ac:dyDescent="0.3">
      <c r="A49" s="51" t="s">
        <v>749</v>
      </c>
      <c r="B49" s="19">
        <f>NetIncome_FY2026-IS_NI_H1_Cited</f>
        <v>94181.326261877955</v>
      </c>
      <c r="C49" s="44" t="s">
        <v>274</v>
      </c>
      <c r="D49" s="44" t="s">
        <v>274</v>
      </c>
      <c r="E49" s="44" t="s">
        <v>274</v>
      </c>
      <c r="F49" s="44" t="s">
        <v>274</v>
      </c>
      <c r="G49" s="25" t="s">
        <v>750</v>
      </c>
      <c r="H49" s="6" t="s">
        <v>751</v>
      </c>
    </row>
    <row r="51" spans="1:8" ht="18" customHeight="1" x14ac:dyDescent="0.3">
      <c r="A51" s="23" t="s">
        <v>443</v>
      </c>
      <c r="B51" s="23" t="s">
        <v>4</v>
      </c>
      <c r="C51" s="23" t="s">
        <v>4</v>
      </c>
      <c r="D51" s="23" t="s">
        <v>4</v>
      </c>
      <c r="E51" s="23" t="s">
        <v>4</v>
      </c>
      <c r="F51" s="23" t="s">
        <v>4</v>
      </c>
      <c r="G51" s="23" t="s">
        <v>4</v>
      </c>
      <c r="H51" s="23" t="s">
        <v>4</v>
      </c>
    </row>
    <row r="52" spans="1:8" x14ac:dyDescent="0.3">
      <c r="A52" s="4" t="s">
        <v>752</v>
      </c>
      <c r="B52" s="37" t="str">
        <f>IF(ABS(B8-(B6-B7))&lt;=Tolerance_USD,"OK","BREAK")</f>
        <v>OK</v>
      </c>
      <c r="C52" s="37" t="str">
        <f>IF(ABS(C8-(C6-C7))&lt;=Tolerance_USD,"OK","BREAK")</f>
        <v>OK</v>
      </c>
      <c r="D52" s="37" t="str">
        <f>IF(ABS(D8-(D6-D7))&lt;=Tolerance_USD,"OK","BREAK")</f>
        <v>OK</v>
      </c>
      <c r="E52" s="37" t="str">
        <f>IF(ABS(E8-(E6-E7))&lt;=Tolerance_USD,"OK","BREAK")</f>
        <v>OK</v>
      </c>
      <c r="F52" s="37" t="str">
        <f>IF(ABS(F8-(F6-F7))&lt;=Tolerance_USD,"OK","BREAK")</f>
        <v>OK</v>
      </c>
    </row>
    <row r="53" spans="1:8" x14ac:dyDescent="0.3">
      <c r="A53" s="4" t="s">
        <v>753</v>
      </c>
      <c r="B53" s="37" t="str">
        <f>IF(ABS(B15-(B12+B13+B14))&lt;=Tolerance_USD,"OK","BREAK")</f>
        <v>OK</v>
      </c>
      <c r="C53" s="37" t="str">
        <f>IF(ABS(C15-(C12+C13+C14))&lt;=Tolerance_USD,"OK","BREAK")</f>
        <v>OK</v>
      </c>
      <c r="D53" s="37" t="str">
        <f>IF(ABS(D15-(D12+D13+D14))&lt;=Tolerance_USD,"OK","BREAK")</f>
        <v>OK</v>
      </c>
      <c r="E53" s="37" t="str">
        <f>IF(ABS(E15-(E12+E13+E14))&lt;=Tolerance_USD,"OK","BREAK")</f>
        <v>OK</v>
      </c>
      <c r="F53" s="37" t="str">
        <f>IF(ABS(F15-(F12+F13+F14))&lt;=Tolerance_USD,"OK","BREAK")</f>
        <v>OK</v>
      </c>
    </row>
    <row r="54" spans="1:8" x14ac:dyDescent="0.3">
      <c r="A54" s="4" t="s">
        <v>754</v>
      </c>
      <c r="B54" s="37" t="str">
        <f>IF(ABS(B16-(B8-B15))&lt;=Tolerance_USD,"OK","BREAK")</f>
        <v>OK</v>
      </c>
      <c r="C54" s="37" t="str">
        <f>IF(ABS(C16-(C8-C15))&lt;=Tolerance_USD,"OK","BREAK")</f>
        <v>OK</v>
      </c>
      <c r="D54" s="37" t="str">
        <f>IF(ABS(D16-(D8-D15))&lt;=Tolerance_USD,"OK","BREAK")</f>
        <v>OK</v>
      </c>
      <c r="E54" s="37" t="str">
        <f>IF(ABS(E16-(E8-E15))&lt;=Tolerance_USD,"OK","BREAK")</f>
        <v>OK</v>
      </c>
      <c r="F54" s="37" t="str">
        <f>IF(ABS(F16-(F8-F15))&lt;=Tolerance_USD,"OK","BREAK")</f>
        <v>OK</v>
      </c>
    </row>
    <row r="55" spans="1:8" x14ac:dyDescent="0.3">
      <c r="A55" s="4" t="s">
        <v>755</v>
      </c>
      <c r="B55" s="37" t="str">
        <f>IF(ABS(B22-(B16+B20+B21))&lt;=Tolerance_USD,"OK","BREAK")</f>
        <v>OK</v>
      </c>
      <c r="C55" s="37" t="str">
        <f>IF(ABS(C22-(C16+C20+C21))&lt;=Tolerance_USD,"OK","BREAK")</f>
        <v>OK</v>
      </c>
      <c r="D55" s="37" t="str">
        <f>IF(ABS(D22-(D16+D20+D21))&lt;=Tolerance_USD,"OK","BREAK")</f>
        <v>OK</v>
      </c>
      <c r="E55" s="37" t="str">
        <f>IF(ABS(E22-(E16+E20+E21))&lt;=Tolerance_USD,"OK","BREAK")</f>
        <v>OK</v>
      </c>
      <c r="F55" s="37" t="str">
        <f>IF(ABS(F22-(F16+F20+F21))&lt;=Tolerance_USD,"OK","BREAK")</f>
        <v>OK</v>
      </c>
    </row>
    <row r="56" spans="1:8" x14ac:dyDescent="0.3">
      <c r="A56" s="4" t="s">
        <v>756</v>
      </c>
      <c r="B56" s="37" t="str">
        <f>IF(ABS(B24-(B22-B23))&lt;=Tolerance_USD,"OK","BREAK")</f>
        <v>OK</v>
      </c>
      <c r="C56" s="37" t="str">
        <f>IF(ABS(C24-(C22-C23))&lt;=Tolerance_USD,"OK","BREAK")</f>
        <v>OK</v>
      </c>
      <c r="D56" s="37" t="str">
        <f>IF(ABS(D24-(D22-D23))&lt;=Tolerance_USD,"OK","BREAK")</f>
        <v>OK</v>
      </c>
      <c r="E56" s="37" t="str">
        <f>IF(ABS(E24-(E22-E23))&lt;=Tolerance_USD,"OK","BREAK")</f>
        <v>OK</v>
      </c>
      <c r="F56" s="37" t="str">
        <f>IF(ABS(F24-(F22-F23))&lt;=Tolerance_USD,"OK","BREAK")</f>
        <v>OK</v>
      </c>
    </row>
    <row r="57" spans="1:8" x14ac:dyDescent="0.3">
      <c r="A57" s="4" t="s">
        <v>757</v>
      </c>
      <c r="B57" s="37" t="str">
        <f>IF(ABS(B21-52645.4720473275)&lt;=Tolerance_USD,"OK","BREAK")</f>
        <v>OK</v>
      </c>
      <c r="C57" s="37" t="str">
        <f>IF(ABS(C21-64232.0054024518)&lt;=Tolerance_USD,"OK","BREAK")</f>
        <v>OK</v>
      </c>
      <c r="D57" s="37" t="str">
        <f>IF(ABS(D21-75968.3409892594)&lt;=Tolerance_USD,"OK","BREAK")</f>
        <v>OK</v>
      </c>
      <c r="E57" s="37" t="str">
        <f>IF(ABS(E21-90904.315958515)&lt;=Tolerance_USD,"OK","BREAK")</f>
        <v>OK</v>
      </c>
      <c r="F57" s="37" t="str">
        <f>IF(ABS(F21-109641.80492906)&lt;=Tolerance_USD,"OK","BREAK")</f>
        <v>OK</v>
      </c>
    </row>
    <row r="58" spans="1:8" x14ac:dyDescent="0.3">
      <c r="A58" s="4" t="s">
        <v>758</v>
      </c>
      <c r="B58" s="37" t="str">
        <f>IF(ABS(B24-170799.326261877)&lt;=Tolerance_USD,"OK","BREAK")</f>
        <v>OK</v>
      </c>
      <c r="C58" s="37" t="str">
        <f>IF(ABS(C24-213287.604799299)&lt;=Tolerance_USD,"OK","BREAK")</f>
        <v>OK</v>
      </c>
      <c r="D58" s="37" t="str">
        <f>IF(ABS(D24-249229.796143025)&lt;=Tolerance_USD,"OK","BREAK")</f>
        <v>OK</v>
      </c>
      <c r="E58" s="37" t="str">
        <f>IF(ABS(E24-292815.700597107)&lt;=Tolerance_USD,"OK","BREAK")</f>
        <v>OK</v>
      </c>
      <c r="F58" s="37" t="str">
        <f>IF(ABS(F24-345421.658072841)&lt;=Tolerance_USD,"OK","BREAK")</f>
        <v>OK</v>
      </c>
    </row>
    <row r="59" spans="1:8" x14ac:dyDescent="0.3">
      <c r="A59" s="4" t="s">
        <v>759</v>
      </c>
      <c r="B59" s="37" t="str">
        <f>IF(ABS(Pretax_FY2026-(100918+EBITH2_FY2026+OtherH2_FY2026+SolvedH2_FY2026))&lt;=Tolerance_USD,"OK","BREAK")</f>
        <v>OK</v>
      </c>
      <c r="C59" s="38" t="s">
        <v>274</v>
      </c>
      <c r="D59" s="38" t="s">
        <v>274</v>
      </c>
      <c r="E59" s="38" t="s">
        <v>274</v>
      </c>
      <c r="F59" s="38" t="s">
        <v>274</v>
      </c>
    </row>
  </sheetData>
  <sheetProtection sheet="1"/>
  <mergeCells count="2">
    <mergeCell ref="A1:L1"/>
    <mergeCell ref="A2:L2"/>
  </mergeCells>
  <conditionalFormatting sqref="B59">
    <cfRule type="expression" dxfId="51" priority="15">
      <formula>B59="OK"</formula>
    </cfRule>
    <cfRule type="expression" dxfId="50" priority="16">
      <formula>B59="BREAK"</formula>
    </cfRule>
  </conditionalFormatting>
  <conditionalFormatting sqref="B52:F58">
    <cfRule type="expression" dxfId="49" priority="1">
      <formula>B52="OK"</formula>
    </cfRule>
    <cfRule type="expression" dxfId="48" priority="2">
      <formula>B52="BREAK"</formula>
    </cfRule>
  </conditionalFormatting>
  <pageMargins left="0.7" right="0.7" top="0.75" bottom="0.75" header="0.3" footer="0.3"/>
  <pageSetup fitToHeight="0" orientation="landscape"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C3AED"/>
    <pageSetUpPr fitToPage="1"/>
  </sheetPr>
  <dimension ref="A1:L73"/>
  <sheetViews>
    <sheetView workbookViewId="0">
      <pane xSplit="1" ySplit="4" topLeftCell="B5" activePane="bottomRight" state="frozen"/>
      <selection pane="topRight"/>
      <selection pane="bottomLeft"/>
      <selection pane="bottomRight"/>
    </sheetView>
  </sheetViews>
  <sheetFormatPr defaultRowHeight="14.4" x14ac:dyDescent="0.3"/>
  <cols>
    <col min="1" max="1" width="82" customWidth="1"/>
    <col min="2" max="6" width="18" customWidth="1"/>
    <col min="7" max="7" width="52" customWidth="1"/>
    <col min="8" max="8" width="65" customWidth="1"/>
  </cols>
  <sheetData>
    <row r="1" spans="1:12" ht="22.05" customHeight="1" x14ac:dyDescent="0.4">
      <c r="A1" s="78" t="s">
        <v>760</v>
      </c>
      <c r="B1" s="78"/>
      <c r="C1" s="78"/>
      <c r="D1" s="78"/>
      <c r="E1" s="78"/>
      <c r="F1" s="78"/>
      <c r="G1" s="78"/>
      <c r="H1" s="78"/>
      <c r="I1" s="78"/>
      <c r="J1" s="78"/>
      <c r="K1" s="78"/>
      <c r="L1" s="78"/>
    </row>
    <row r="2" spans="1:12" ht="16.05" customHeight="1" x14ac:dyDescent="0.3">
      <c r="A2" s="79" t="s">
        <v>761</v>
      </c>
      <c r="B2" s="79"/>
      <c r="C2" s="79"/>
      <c r="D2" s="79"/>
      <c r="E2" s="79"/>
      <c r="F2" s="79"/>
      <c r="G2" s="79"/>
      <c r="H2" s="79"/>
      <c r="I2" s="79"/>
      <c r="J2" s="79"/>
      <c r="K2" s="79"/>
      <c r="L2" s="79"/>
    </row>
    <row r="4" spans="1:12" ht="19.95" customHeight="1" x14ac:dyDescent="0.3">
      <c r="A4" s="2" t="s">
        <v>522</v>
      </c>
      <c r="B4" s="3" t="s">
        <v>209</v>
      </c>
      <c r="C4" s="3" t="s">
        <v>357</v>
      </c>
      <c r="D4" s="3" t="s">
        <v>358</v>
      </c>
      <c r="E4" s="3" t="s">
        <v>359</v>
      </c>
      <c r="F4" s="3" t="s">
        <v>212</v>
      </c>
      <c r="G4" s="3" t="s">
        <v>644</v>
      </c>
      <c r="H4" s="3" t="s">
        <v>103</v>
      </c>
    </row>
    <row r="5" spans="1:12" ht="18" customHeight="1" x14ac:dyDescent="0.3">
      <c r="A5" s="23" t="s">
        <v>762</v>
      </c>
      <c r="B5" s="23" t="s">
        <v>4</v>
      </c>
      <c r="C5" s="23" t="s">
        <v>4</v>
      </c>
      <c r="D5" s="23" t="s">
        <v>4</v>
      </c>
      <c r="E5" s="23" t="s">
        <v>4</v>
      </c>
      <c r="F5" s="23" t="s">
        <v>4</v>
      </c>
      <c r="G5" s="23" t="s">
        <v>4</v>
      </c>
      <c r="H5" s="23" t="s">
        <v>4</v>
      </c>
    </row>
    <row r="6" spans="1:12" x14ac:dyDescent="0.3">
      <c r="A6" s="52" t="s">
        <v>763</v>
      </c>
      <c r="B6" s="11">
        <v>1180887</v>
      </c>
      <c r="C6" s="44" t="s">
        <v>274</v>
      </c>
      <c r="D6" s="44" t="s">
        <v>274</v>
      </c>
      <c r="E6" s="44" t="s">
        <v>274</v>
      </c>
      <c r="F6" s="44" t="s">
        <v>274</v>
      </c>
      <c r="G6" s="25" t="s">
        <v>764</v>
      </c>
      <c r="H6" s="6" t="s">
        <v>765</v>
      </c>
    </row>
    <row r="7" spans="1:12" x14ac:dyDescent="0.3">
      <c r="A7" s="52" t="s">
        <v>766</v>
      </c>
      <c r="B7" s="11">
        <v>132979</v>
      </c>
      <c r="C7" s="44" t="s">
        <v>274</v>
      </c>
      <c r="D7" s="44" t="s">
        <v>274</v>
      </c>
      <c r="E7" s="44" t="s">
        <v>274</v>
      </c>
      <c r="F7" s="44" t="s">
        <v>274</v>
      </c>
      <c r="G7" s="25" t="s">
        <v>767</v>
      </c>
      <c r="H7" s="6" t="s">
        <v>768</v>
      </c>
    </row>
    <row r="8" spans="1:12" x14ac:dyDescent="0.3">
      <c r="A8" s="52" t="s">
        <v>769</v>
      </c>
      <c r="B8" s="11">
        <v>102693</v>
      </c>
      <c r="C8" s="44" t="s">
        <v>274</v>
      </c>
      <c r="D8" s="44" t="s">
        <v>274</v>
      </c>
      <c r="E8" s="44" t="s">
        <v>274</v>
      </c>
      <c r="F8" s="44" t="s">
        <v>274</v>
      </c>
      <c r="G8" s="25" t="s">
        <v>770</v>
      </c>
      <c r="H8" s="6" t="s">
        <v>771</v>
      </c>
    </row>
    <row r="9" spans="1:12" x14ac:dyDescent="0.3">
      <c r="A9" s="52" t="s">
        <v>772</v>
      </c>
      <c r="B9" s="11">
        <v>74830</v>
      </c>
      <c r="C9" s="44" t="s">
        <v>274</v>
      </c>
      <c r="D9" s="44" t="s">
        <v>274</v>
      </c>
      <c r="E9" s="44" t="s">
        <v>274</v>
      </c>
      <c r="F9" s="44" t="s">
        <v>274</v>
      </c>
      <c r="G9" s="25" t="s">
        <v>773</v>
      </c>
      <c r="H9" s="6" t="s">
        <v>774</v>
      </c>
    </row>
    <row r="10" spans="1:12" x14ac:dyDescent="0.3">
      <c r="A10" s="52" t="s">
        <v>775</v>
      </c>
      <c r="B10" s="11">
        <v>35335</v>
      </c>
      <c r="C10" s="44" t="s">
        <v>274</v>
      </c>
      <c r="D10" s="44" t="s">
        <v>274</v>
      </c>
      <c r="E10" s="44" t="s">
        <v>274</v>
      </c>
      <c r="F10" s="44" t="s">
        <v>274</v>
      </c>
      <c r="G10" s="25" t="s">
        <v>776</v>
      </c>
      <c r="H10" s="6" t="s">
        <v>777</v>
      </c>
    </row>
    <row r="11" spans="1:12" x14ac:dyDescent="0.3">
      <c r="A11" s="52" t="s">
        <v>778</v>
      </c>
      <c r="B11" s="11">
        <v>2735</v>
      </c>
      <c r="C11" s="44" t="s">
        <v>274</v>
      </c>
      <c r="D11" s="44" t="s">
        <v>274</v>
      </c>
      <c r="E11" s="44" t="s">
        <v>274</v>
      </c>
      <c r="F11" s="44" t="s">
        <v>274</v>
      </c>
      <c r="G11" s="25" t="s">
        <v>779</v>
      </c>
      <c r="H11" s="6" t="s">
        <v>780</v>
      </c>
    </row>
    <row r="12" spans="1:12" x14ac:dyDescent="0.3">
      <c r="A12" s="52" t="s">
        <v>781</v>
      </c>
      <c r="B12" s="11">
        <v>206039</v>
      </c>
      <c r="C12" s="44" t="s">
        <v>274</v>
      </c>
      <c r="D12" s="44" t="s">
        <v>274</v>
      </c>
      <c r="E12" s="44" t="s">
        <v>274</v>
      </c>
      <c r="F12" s="44" t="s">
        <v>274</v>
      </c>
      <c r="G12" s="25" t="s">
        <v>782</v>
      </c>
      <c r="H12" s="6" t="s">
        <v>783</v>
      </c>
    </row>
    <row r="13" spans="1:12" x14ac:dyDescent="0.3">
      <c r="A13" s="52" t="s">
        <v>784</v>
      </c>
      <c r="B13" s="11">
        <v>10990</v>
      </c>
      <c r="C13" s="44" t="s">
        <v>274</v>
      </c>
      <c r="D13" s="44" t="s">
        <v>274</v>
      </c>
      <c r="E13" s="44" t="s">
        <v>274</v>
      </c>
      <c r="F13" s="44" t="s">
        <v>274</v>
      </c>
      <c r="G13" s="25" t="s">
        <v>785</v>
      </c>
      <c r="H13" s="6" t="s">
        <v>786</v>
      </c>
    </row>
    <row r="14" spans="1:12" x14ac:dyDescent="0.3">
      <c r="A14" s="52" t="s">
        <v>787</v>
      </c>
      <c r="B14" s="11">
        <v>42619</v>
      </c>
      <c r="C14" s="44" t="s">
        <v>274</v>
      </c>
      <c r="D14" s="44" t="s">
        <v>274</v>
      </c>
      <c r="E14" s="44" t="s">
        <v>274</v>
      </c>
      <c r="F14" s="44" t="s">
        <v>274</v>
      </c>
      <c r="G14" s="25" t="s">
        <v>788</v>
      </c>
      <c r="H14" s="6" t="s">
        <v>789</v>
      </c>
    </row>
    <row r="15" spans="1:12" x14ac:dyDescent="0.3">
      <c r="A15" s="52" t="s">
        <v>790</v>
      </c>
      <c r="B15" s="11">
        <v>27598</v>
      </c>
      <c r="C15" s="44" t="s">
        <v>274</v>
      </c>
      <c r="D15" s="44" t="s">
        <v>274</v>
      </c>
      <c r="E15" s="44" t="s">
        <v>274</v>
      </c>
      <c r="F15" s="44" t="s">
        <v>274</v>
      </c>
      <c r="G15" s="25" t="s">
        <v>791</v>
      </c>
      <c r="H15" s="6" t="s">
        <v>792</v>
      </c>
    </row>
    <row r="16" spans="1:12" x14ac:dyDescent="0.3">
      <c r="A16" s="52" t="s">
        <v>793</v>
      </c>
      <c r="B16" s="11">
        <v>86136</v>
      </c>
      <c r="C16" s="44" t="s">
        <v>274</v>
      </c>
      <c r="D16" s="44" t="s">
        <v>274</v>
      </c>
      <c r="E16" s="44" t="s">
        <v>274</v>
      </c>
      <c r="F16" s="44" t="s">
        <v>274</v>
      </c>
      <c r="G16" s="25" t="s">
        <v>794</v>
      </c>
      <c r="H16" s="6" t="s">
        <v>795</v>
      </c>
    </row>
    <row r="17" spans="1:8" x14ac:dyDescent="0.3">
      <c r="A17" s="52" t="s">
        <v>796</v>
      </c>
      <c r="B17" s="11">
        <v>242</v>
      </c>
      <c r="C17" s="44" t="s">
        <v>274</v>
      </c>
      <c r="D17" s="44" t="s">
        <v>274</v>
      </c>
      <c r="E17" s="44" t="s">
        <v>274</v>
      </c>
      <c r="F17" s="44" t="s">
        <v>274</v>
      </c>
      <c r="G17" s="25" t="s">
        <v>797</v>
      </c>
      <c r="H17" s="6" t="s">
        <v>798</v>
      </c>
    </row>
    <row r="18" spans="1:8" x14ac:dyDescent="0.3">
      <c r="A18" s="52" t="s">
        <v>799</v>
      </c>
      <c r="B18" s="11">
        <v>5</v>
      </c>
      <c r="C18" s="44" t="s">
        <v>274</v>
      </c>
      <c r="D18" s="44" t="s">
        <v>274</v>
      </c>
      <c r="E18" s="44" t="s">
        <v>274</v>
      </c>
      <c r="F18" s="44" t="s">
        <v>274</v>
      </c>
      <c r="G18" s="25" t="s">
        <v>800</v>
      </c>
      <c r="H18" s="6" t="s">
        <v>801</v>
      </c>
    </row>
    <row r="19" spans="1:8" x14ac:dyDescent="0.3">
      <c r="A19" s="52" t="s">
        <v>802</v>
      </c>
      <c r="B19" s="11">
        <v>1046326</v>
      </c>
      <c r="C19" s="44" t="s">
        <v>274</v>
      </c>
      <c r="D19" s="44" t="s">
        <v>274</v>
      </c>
      <c r="E19" s="44" t="s">
        <v>274</v>
      </c>
      <c r="F19" s="44" t="s">
        <v>274</v>
      </c>
      <c r="G19" s="25" t="s">
        <v>803</v>
      </c>
      <c r="H19" s="6" t="s">
        <v>804</v>
      </c>
    </row>
    <row r="20" spans="1:8" x14ac:dyDescent="0.3">
      <c r="A20" s="52" t="s">
        <v>805</v>
      </c>
      <c r="B20" s="11">
        <v>364836</v>
      </c>
      <c r="C20" s="44" t="s">
        <v>274</v>
      </c>
      <c r="D20" s="44" t="s">
        <v>274</v>
      </c>
      <c r="E20" s="44" t="s">
        <v>274</v>
      </c>
      <c r="F20" s="44" t="s">
        <v>274</v>
      </c>
      <c r="G20" s="25" t="s">
        <v>806</v>
      </c>
      <c r="H20" s="6" t="s">
        <v>807</v>
      </c>
    </row>
    <row r="21" spans="1:8" x14ac:dyDescent="0.3">
      <c r="A21" s="52" t="s">
        <v>808</v>
      </c>
      <c r="B21" s="11">
        <v>-1425</v>
      </c>
      <c r="C21" s="44" t="s">
        <v>274</v>
      </c>
      <c r="D21" s="44" t="s">
        <v>274</v>
      </c>
      <c r="E21" s="44" t="s">
        <v>274</v>
      </c>
      <c r="F21" s="44" t="s">
        <v>274</v>
      </c>
      <c r="G21" s="25" t="s">
        <v>809</v>
      </c>
      <c r="H21" s="6" t="s">
        <v>810</v>
      </c>
    </row>
    <row r="22" spans="1:8" x14ac:dyDescent="0.3">
      <c r="A22" s="52" t="s">
        <v>811</v>
      </c>
      <c r="B22" s="11">
        <v>-320585</v>
      </c>
      <c r="C22" s="44" t="s">
        <v>274</v>
      </c>
      <c r="D22" s="44" t="s">
        <v>274</v>
      </c>
      <c r="E22" s="44" t="s">
        <v>274</v>
      </c>
      <c r="F22" s="44" t="s">
        <v>274</v>
      </c>
      <c r="G22" s="25" t="s">
        <v>812</v>
      </c>
      <c r="H22" s="6" t="s">
        <v>813</v>
      </c>
    </row>
    <row r="25" spans="1:8" ht="18" customHeight="1" x14ac:dyDescent="0.3">
      <c r="A25" s="23" t="s">
        <v>814</v>
      </c>
      <c r="B25" s="23" t="s">
        <v>4</v>
      </c>
      <c r="C25" s="23" t="s">
        <v>4</v>
      </c>
      <c r="D25" s="23" t="s">
        <v>4</v>
      </c>
      <c r="E25" s="23" t="s">
        <v>4</v>
      </c>
      <c r="F25" s="23" t="s">
        <v>4</v>
      </c>
      <c r="G25" s="23" t="s">
        <v>4</v>
      </c>
      <c r="H25" s="23" t="s">
        <v>4</v>
      </c>
    </row>
    <row r="26" spans="1:8" x14ac:dyDescent="0.3">
      <c r="A26" s="34" t="s">
        <v>297</v>
      </c>
      <c r="B26" s="47">
        <f>CF_EndCash_FY2026</f>
        <v>1235194.973501334</v>
      </c>
      <c r="C26" s="47">
        <f>CF_EndCash_FY2027</f>
        <v>1490753.4131908091</v>
      </c>
      <c r="D26" s="47">
        <f>CF_EndCash_FY2028</f>
        <v>1819397.4467738227</v>
      </c>
      <c r="E26" s="47">
        <f>CF_EndCash_FY2029</f>
        <v>2234225.1257399283</v>
      </c>
      <c r="F26" s="47">
        <f>CF_EndCash_FY2030</f>
        <v>2752098.0600566603</v>
      </c>
      <c r="G26" s="25" t="s">
        <v>815</v>
      </c>
      <c r="H26" s="6" t="s">
        <v>816</v>
      </c>
    </row>
    <row r="27" spans="1:8" x14ac:dyDescent="0.3">
      <c r="A27" s="34" t="s">
        <v>817</v>
      </c>
      <c r="B27" s="47">
        <f>BS_Q2_STI</f>
        <v>132979</v>
      </c>
      <c r="C27" s="47">
        <f>BS_Q2_STI</f>
        <v>132979</v>
      </c>
      <c r="D27" s="47">
        <f>BS_Q2_STI</f>
        <v>132979</v>
      </c>
      <c r="E27" s="47">
        <f>BS_Q2_STI</f>
        <v>132979</v>
      </c>
      <c r="F27" s="47">
        <f>BS_Q2_STI</f>
        <v>132979</v>
      </c>
      <c r="G27" s="25" t="s">
        <v>767</v>
      </c>
      <c r="H27" s="6" t="s">
        <v>818</v>
      </c>
    </row>
    <row r="28" spans="1:8" x14ac:dyDescent="0.3">
      <c r="A28" s="34" t="s">
        <v>819</v>
      </c>
      <c r="B28" s="47">
        <f>WC_AR_FY2026</f>
        <v>187353.23141304983</v>
      </c>
      <c r="C28" s="47">
        <f>WC_AR_FY2027</f>
        <v>216178.65891770049</v>
      </c>
      <c r="D28" s="47">
        <f>WC_AR_FY2028</f>
        <v>251525.17617666849</v>
      </c>
      <c r="E28" s="47">
        <f>WC_AR_FY2029</f>
        <v>293553.42605819314</v>
      </c>
      <c r="F28" s="47">
        <f>WC_AR_FY2030</f>
        <v>343435.97683214117</v>
      </c>
      <c r="G28" s="25" t="s">
        <v>820</v>
      </c>
      <c r="H28" s="6" t="s">
        <v>821</v>
      </c>
    </row>
    <row r="29" spans="1:8" x14ac:dyDescent="0.3">
      <c r="A29" s="34" t="s">
        <v>299</v>
      </c>
      <c r="B29" s="47">
        <f>WC_DefCost_FY2026</f>
        <v>118072.11285202479</v>
      </c>
      <c r="C29" s="47">
        <f>WC_DefCost_FY2027</f>
        <v>136238.22135022018</v>
      </c>
      <c r="D29" s="47">
        <f>WC_DefCost_FY2028</f>
        <v>158513.99392830775</v>
      </c>
      <c r="E29" s="47">
        <f>WC_DefCost_FY2029</f>
        <v>185000.6695279624</v>
      </c>
      <c r="F29" s="47">
        <f>WC_DefCost_FY2030</f>
        <v>216437.21385605884</v>
      </c>
      <c r="G29" s="25" t="s">
        <v>822</v>
      </c>
      <c r="H29" s="6" t="s">
        <v>823</v>
      </c>
    </row>
    <row r="30" spans="1:8" x14ac:dyDescent="0.3">
      <c r="A30" s="34" t="s">
        <v>300</v>
      </c>
      <c r="B30" s="47">
        <f>WC_Prepaid_FY2026</f>
        <v>19101.656275352849</v>
      </c>
      <c r="C30" s="47">
        <f>WC_Prepaid_FY2027</f>
        <v>22040.561593564435</v>
      </c>
      <c r="D30" s="47">
        <f>WC_Prepaid_FY2028</f>
        <v>25644.326621364249</v>
      </c>
      <c r="E30" s="47">
        <f>WC_Prepaid_FY2029</f>
        <v>29929.329751743157</v>
      </c>
      <c r="F30" s="47">
        <f>WC_Prepaid_FY2030</f>
        <v>35015.120542941775</v>
      </c>
      <c r="G30" s="25" t="s">
        <v>824</v>
      </c>
      <c r="H30" s="6" t="s">
        <v>825</v>
      </c>
    </row>
    <row r="31" spans="1:8" x14ac:dyDescent="0.3">
      <c r="A31" s="34" t="s">
        <v>532</v>
      </c>
      <c r="B31" s="47">
        <f>WC_TaxRec_FY2026</f>
        <v>16236.407834049918</v>
      </c>
      <c r="C31" s="47">
        <f>WC_TaxRec_FY2027</f>
        <v>18734.477354529768</v>
      </c>
      <c r="D31" s="47">
        <f>WC_TaxRec_FY2028</f>
        <v>21797.67762815961</v>
      </c>
      <c r="E31" s="47">
        <f>WC_TaxRec_FY2029</f>
        <v>25439.930288981683</v>
      </c>
      <c r="F31" s="47">
        <f>WC_TaxRec_FY2030</f>
        <v>29762.852461500504</v>
      </c>
      <c r="G31" s="25" t="s">
        <v>826</v>
      </c>
      <c r="H31" s="6" t="s">
        <v>827</v>
      </c>
    </row>
    <row r="32" spans="1:8" x14ac:dyDescent="0.3">
      <c r="A32" s="4" t="s">
        <v>301</v>
      </c>
      <c r="B32" s="20">
        <f>B26+B27+B28+B29+B30+B31</f>
        <v>1708937.3818758116</v>
      </c>
      <c r="C32" s="20">
        <f>C26+C27+C28+C29+C30+C31</f>
        <v>2016924.332406824</v>
      </c>
      <c r="D32" s="20">
        <f>D26+D27+D28+D29+D30+D31</f>
        <v>2409857.6211283226</v>
      </c>
      <c r="E32" s="20">
        <f>E26+E27+E28+E29+E30+E31</f>
        <v>2901127.4813668085</v>
      </c>
      <c r="F32" s="20">
        <f>F26+F27+F28+F29+F30+F31</f>
        <v>3509728.2237493023</v>
      </c>
      <c r="G32" s="25" t="s">
        <v>828</v>
      </c>
      <c r="H32" s="6" t="s">
        <v>829</v>
      </c>
    </row>
    <row r="34" spans="1:8" ht="18" customHeight="1" x14ac:dyDescent="0.3">
      <c r="A34" s="23" t="s">
        <v>830</v>
      </c>
      <c r="B34" s="23" t="s">
        <v>4</v>
      </c>
      <c r="C34" s="23" t="s">
        <v>4</v>
      </c>
      <c r="D34" s="23" t="s">
        <v>4</v>
      </c>
      <c r="E34" s="23" t="s">
        <v>4</v>
      </c>
      <c r="F34" s="23" t="s">
        <v>4</v>
      </c>
      <c r="G34" s="23" t="s">
        <v>4</v>
      </c>
      <c r="H34" s="23" t="s">
        <v>4</v>
      </c>
    </row>
    <row r="35" spans="1:8" x14ac:dyDescent="0.3">
      <c r="A35" s="34" t="s">
        <v>831</v>
      </c>
      <c r="B35" s="47">
        <f>BS_Q2_ROU</f>
        <v>74830</v>
      </c>
      <c r="C35" s="47">
        <f>BS_Q2_ROU</f>
        <v>74830</v>
      </c>
      <c r="D35" s="47">
        <f>BS_Q2_ROU</f>
        <v>74830</v>
      </c>
      <c r="E35" s="47">
        <f>BS_Q2_ROU</f>
        <v>74830</v>
      </c>
      <c r="F35" s="47">
        <f>BS_Q2_ROU</f>
        <v>74830</v>
      </c>
      <c r="G35" s="25" t="s">
        <v>773</v>
      </c>
      <c r="H35" s="6" t="s">
        <v>832</v>
      </c>
    </row>
    <row r="36" spans="1:8" x14ac:dyDescent="0.3">
      <c r="A36" s="34" t="s">
        <v>833</v>
      </c>
      <c r="B36" s="47">
        <f>BS_Q2_LTI</f>
        <v>102693</v>
      </c>
      <c r="C36" s="47">
        <f>BS_Q2_LTI</f>
        <v>102693</v>
      </c>
      <c r="D36" s="47">
        <f>BS_Q2_LTI</f>
        <v>102693</v>
      </c>
      <c r="E36" s="47">
        <f>BS_Q2_LTI</f>
        <v>102693</v>
      </c>
      <c r="F36" s="47">
        <f>BS_Q2_LTI</f>
        <v>102693</v>
      </c>
      <c r="G36" s="25" t="s">
        <v>770</v>
      </c>
      <c r="H36" s="6" t="s">
        <v>834</v>
      </c>
    </row>
    <row r="37" spans="1:8" x14ac:dyDescent="0.3">
      <c r="A37" s="34" t="s">
        <v>835</v>
      </c>
      <c r="B37" s="47">
        <f>BS_Q2_PPE+CapexPPEBasis_FY2026-DepBasis_FY2026</f>
        <v>50020.891806699234</v>
      </c>
      <c r="C37" s="47">
        <f>B37+CapexPPEBasis_FY2027-DepBasis_FY2027</f>
        <v>67102.327041711658</v>
      </c>
      <c r="D37" s="47">
        <f>C37+CapexPPEBasis_FY2028-DepBasis_FY2028</f>
        <v>86976.680173268949</v>
      </c>
      <c r="E37" s="47">
        <f>D37+CapexPPEBasis_FY2029-DepBasis_FY2029</f>
        <v>110171.9107308699</v>
      </c>
      <c r="F37" s="47">
        <f>E37+CapexPPEBasis_FY2030-DepBasis_FY2030</f>
        <v>137308.62915164977</v>
      </c>
      <c r="G37" s="25" t="s">
        <v>836</v>
      </c>
      <c r="H37" s="6" t="s">
        <v>837</v>
      </c>
    </row>
    <row r="38" spans="1:8" x14ac:dyDescent="0.3">
      <c r="A38" s="34" t="s">
        <v>838</v>
      </c>
      <c r="B38" s="47">
        <f>BS_Q2_Intang+CapSoftBasis_FY2026-AmortBasis_FY2026</f>
        <v>27657.692675860479</v>
      </c>
      <c r="C38" s="47">
        <f>B38+CapSoftBasis_FY2027-AmortBasis_FY2027</f>
        <v>27795.446185820259</v>
      </c>
      <c r="D38" s="47">
        <f>C38+CapSoftBasis_FY2028-AmortBasis_FY2028</f>
        <v>27955.723227203787</v>
      </c>
      <c r="E38" s="47">
        <f>D38+CapSoftBasis_FY2029-AmortBasis_FY2029</f>
        <v>28142.781538152176</v>
      </c>
      <c r="F38" s="47">
        <f>E38+CapSoftBasis_FY2030-AmortBasis_FY2030</f>
        <v>28361.626041545565</v>
      </c>
      <c r="G38" s="25" t="s">
        <v>839</v>
      </c>
      <c r="H38" s="6" t="s">
        <v>840</v>
      </c>
    </row>
    <row r="39" spans="1:8" x14ac:dyDescent="0.3">
      <c r="A39" s="34" t="s">
        <v>841</v>
      </c>
      <c r="B39" s="47">
        <f>BS_Q2_Goodwill</f>
        <v>35335</v>
      </c>
      <c r="C39" s="47">
        <f>BS_Q2_Goodwill</f>
        <v>35335</v>
      </c>
      <c r="D39" s="47">
        <f>BS_Q2_Goodwill</f>
        <v>35335</v>
      </c>
      <c r="E39" s="47">
        <f>BS_Q2_Goodwill</f>
        <v>35335</v>
      </c>
      <c r="F39" s="47">
        <f>BS_Q2_Goodwill</f>
        <v>35335</v>
      </c>
      <c r="G39" s="25" t="s">
        <v>776</v>
      </c>
      <c r="H39" s="6" t="s">
        <v>842</v>
      </c>
    </row>
    <row r="40" spans="1:8" x14ac:dyDescent="0.3">
      <c r="A40" s="34" t="s">
        <v>843</v>
      </c>
      <c r="B40" s="47">
        <f>BS_Q2_Restricted</f>
        <v>2735</v>
      </c>
      <c r="C40" s="47">
        <f>BS_Q2_Restricted</f>
        <v>2735</v>
      </c>
      <c r="D40" s="47">
        <f>BS_Q2_Restricted</f>
        <v>2735</v>
      </c>
      <c r="E40" s="47">
        <f>BS_Q2_Restricted</f>
        <v>2735</v>
      </c>
      <c r="F40" s="47">
        <f>BS_Q2_Restricted</f>
        <v>2735</v>
      </c>
      <c r="G40" s="25" t="s">
        <v>779</v>
      </c>
      <c r="H40" s="6" t="s">
        <v>844</v>
      </c>
    </row>
    <row r="41" spans="1:8" x14ac:dyDescent="0.3">
      <c r="A41" s="34" t="s">
        <v>845</v>
      </c>
      <c r="B41" s="47">
        <f>BS_Q2_DTA</f>
        <v>206039</v>
      </c>
      <c r="C41" s="47">
        <f>BS_Q2_DTA</f>
        <v>206039</v>
      </c>
      <c r="D41" s="47">
        <f>BS_Q2_DTA</f>
        <v>206039</v>
      </c>
      <c r="E41" s="47">
        <f>BS_Q2_DTA</f>
        <v>206039</v>
      </c>
      <c r="F41" s="47">
        <f>BS_Q2_DTA</f>
        <v>206039</v>
      </c>
      <c r="G41" s="25" t="s">
        <v>782</v>
      </c>
      <c r="H41" s="6" t="s">
        <v>846</v>
      </c>
    </row>
    <row r="42" spans="1:8" x14ac:dyDescent="0.3">
      <c r="A42" s="34" t="s">
        <v>847</v>
      </c>
      <c r="B42" s="47">
        <f>BS_Q2_Other</f>
        <v>10990</v>
      </c>
      <c r="C42" s="47">
        <f>BS_Q2_Other</f>
        <v>10990</v>
      </c>
      <c r="D42" s="47">
        <f>BS_Q2_Other</f>
        <v>10990</v>
      </c>
      <c r="E42" s="47">
        <f>BS_Q2_Other</f>
        <v>10990</v>
      </c>
      <c r="F42" s="47">
        <f>BS_Q2_Other</f>
        <v>10990</v>
      </c>
      <c r="G42" s="25" t="s">
        <v>785</v>
      </c>
      <c r="H42" s="6" t="s">
        <v>848</v>
      </c>
    </row>
    <row r="43" spans="1:8" x14ac:dyDescent="0.3">
      <c r="A43" s="4" t="s">
        <v>849</v>
      </c>
      <c r="B43" s="20">
        <f>B35+B36+B37+B38+B39+B40+B41+B42</f>
        <v>510300.5844825597</v>
      </c>
      <c r="C43" s="20">
        <f>C35+C36+C37+C38+C39+C40+C41+C42</f>
        <v>527519.77322753193</v>
      </c>
      <c r="D43" s="20">
        <f>D35+D36+D37+D38+D39+D40+D41+D42</f>
        <v>547554.40340047271</v>
      </c>
      <c r="E43" s="20">
        <f>E35+E36+E37+E38+E39+E40+E41+E42</f>
        <v>570936.69226902211</v>
      </c>
      <c r="F43" s="20">
        <f>F35+F36+F37+F38+F39+F40+F41+F42</f>
        <v>598292.25519319531</v>
      </c>
      <c r="G43" s="25" t="s">
        <v>850</v>
      </c>
      <c r="H43" s="6" t="s">
        <v>851</v>
      </c>
    </row>
    <row r="44" spans="1:8" x14ac:dyDescent="0.3">
      <c r="A44" s="4" t="s">
        <v>309</v>
      </c>
      <c r="B44" s="20">
        <f>B32+B43</f>
        <v>2219237.9663583711</v>
      </c>
      <c r="C44" s="20">
        <f>C32+C43</f>
        <v>2544444.1056343559</v>
      </c>
      <c r="D44" s="20">
        <f>D32+D43</f>
        <v>2957412.0245287954</v>
      </c>
      <c r="E44" s="20">
        <f>E32+E43</f>
        <v>3472064.1736358306</v>
      </c>
      <c r="F44" s="20">
        <f>F32+F43</f>
        <v>4108020.4789424976</v>
      </c>
      <c r="G44" s="25" t="s">
        <v>852</v>
      </c>
      <c r="H44" s="6" t="s">
        <v>853</v>
      </c>
    </row>
    <row r="46" spans="1:8" ht="18" customHeight="1" x14ac:dyDescent="0.3">
      <c r="A46" s="23" t="s">
        <v>854</v>
      </c>
      <c r="B46" s="23" t="s">
        <v>4</v>
      </c>
      <c r="C46" s="23" t="s">
        <v>4</v>
      </c>
      <c r="D46" s="23" t="s">
        <v>4</v>
      </c>
      <c r="E46" s="23" t="s">
        <v>4</v>
      </c>
      <c r="F46" s="23" t="s">
        <v>4</v>
      </c>
      <c r="G46" s="23" t="s">
        <v>4</v>
      </c>
      <c r="H46" s="23" t="s">
        <v>4</v>
      </c>
    </row>
    <row r="47" spans="1:8" x14ac:dyDescent="0.3">
      <c r="A47" s="34" t="s">
        <v>539</v>
      </c>
      <c r="B47" s="47">
        <f>WC_DR_FY2026</f>
        <v>570900.75192960817</v>
      </c>
      <c r="C47" s="47">
        <f>WC_DR_FY2027</f>
        <v>658737.28462765715</v>
      </c>
      <c r="D47" s="47">
        <f>WC_DR_FY2028</f>
        <v>766444.81189602392</v>
      </c>
      <c r="E47" s="47">
        <f>WC_DR_FY2029</f>
        <v>894512.84295522363</v>
      </c>
      <c r="F47" s="47">
        <f>WC_DR_FY2030</f>
        <v>1046514.4152271722</v>
      </c>
      <c r="G47" s="25" t="s">
        <v>855</v>
      </c>
      <c r="H47" s="6" t="s">
        <v>856</v>
      </c>
    </row>
    <row r="48" spans="1:8" x14ac:dyDescent="0.3">
      <c r="A48" s="34" t="s">
        <v>310</v>
      </c>
      <c r="B48" s="47">
        <f>WC_AP_FY2026</f>
        <v>9107.4136738803154</v>
      </c>
      <c r="C48" s="47">
        <f>WC_AP_FY2027</f>
        <v>10616.607231863707</v>
      </c>
      <c r="D48" s="47">
        <f>WC_AP_FY2028</f>
        <v>12352.486678204512</v>
      </c>
      <c r="E48" s="47">
        <f>WC_AP_FY2029</f>
        <v>14416.508278989062</v>
      </c>
      <c r="F48" s="47">
        <f>WC_AP_FY2030</f>
        <v>16866.257259493737</v>
      </c>
      <c r="G48" s="25" t="s">
        <v>857</v>
      </c>
      <c r="H48" s="6" t="s">
        <v>858</v>
      </c>
    </row>
    <row r="49" spans="1:8" x14ac:dyDescent="0.3">
      <c r="A49" s="34" t="s">
        <v>311</v>
      </c>
      <c r="B49" s="47">
        <f>WC_Accrued_FY2026</f>
        <v>52529.554757220329</v>
      </c>
      <c r="C49" s="47">
        <f>WC_Accrued_FY2027</f>
        <v>60611.544382302192</v>
      </c>
      <c r="D49" s="47">
        <f>WC_Accrued_FY2028</f>
        <v>70521.898208751678</v>
      </c>
      <c r="E49" s="47">
        <f>WC_Accrued_FY2029</f>
        <v>82305.656817293682</v>
      </c>
      <c r="F49" s="47">
        <f>WC_Accrued_FY2030</f>
        <v>96291.581493089863</v>
      </c>
      <c r="G49" s="25" t="s">
        <v>859</v>
      </c>
      <c r="H49" s="6" t="s">
        <v>860</v>
      </c>
    </row>
    <row r="50" spans="1:8" x14ac:dyDescent="0.3">
      <c r="A50" s="34" t="s">
        <v>547</v>
      </c>
      <c r="B50" s="47">
        <f>WC_TaxPay_FY2026</f>
        <v>1432.6242206514635</v>
      </c>
      <c r="C50" s="47">
        <f>WC_TaxPay_FY2027</f>
        <v>1653.0421195173326</v>
      </c>
      <c r="D50" s="47">
        <f>WC_TaxPay_FY2028</f>
        <v>1923.3244966023183</v>
      </c>
      <c r="E50" s="47">
        <f>WC_TaxPay_FY2029</f>
        <v>2244.6997313807365</v>
      </c>
      <c r="F50" s="47">
        <f>WC_TaxPay_FY2030</f>
        <v>2626.1340407206326</v>
      </c>
      <c r="G50" s="25" t="s">
        <v>861</v>
      </c>
      <c r="H50" s="6" t="s">
        <v>862</v>
      </c>
    </row>
    <row r="51" spans="1:8" x14ac:dyDescent="0.3">
      <c r="A51" s="4" t="s">
        <v>314</v>
      </c>
      <c r="B51" s="20">
        <f>B47+B48+B49+B50</f>
        <v>633970.34458136023</v>
      </c>
      <c r="C51" s="20">
        <f>C47+C48+C49+C50</f>
        <v>731618.47836134036</v>
      </c>
      <c r="D51" s="20">
        <f>D47+D48+D49+D50</f>
        <v>851242.5212795824</v>
      </c>
      <c r="E51" s="20">
        <f>E47+E48+E49+E50</f>
        <v>993479.70778288716</v>
      </c>
      <c r="F51" s="20">
        <f>F47+F48+F49+F50</f>
        <v>1162298.3880204763</v>
      </c>
      <c r="G51" s="25" t="s">
        <v>863</v>
      </c>
      <c r="H51" s="6" t="s">
        <v>864</v>
      </c>
    </row>
    <row r="53" spans="1:8" ht="18" customHeight="1" x14ac:dyDescent="0.3">
      <c r="A53" s="23" t="s">
        <v>865</v>
      </c>
      <c r="B53" s="23" t="s">
        <v>4</v>
      </c>
      <c r="C53" s="23" t="s">
        <v>4</v>
      </c>
      <c r="D53" s="23" t="s">
        <v>4</v>
      </c>
      <c r="E53" s="23" t="s">
        <v>4</v>
      </c>
      <c r="F53" s="23" t="s">
        <v>4</v>
      </c>
      <c r="G53" s="23" t="s">
        <v>4</v>
      </c>
      <c r="H53" s="23" t="s">
        <v>4</v>
      </c>
    </row>
    <row r="54" spans="1:8" x14ac:dyDescent="0.3">
      <c r="A54" s="34" t="s">
        <v>866</v>
      </c>
      <c r="B54" s="47">
        <f>BS_Q2_Lease</f>
        <v>86136</v>
      </c>
      <c r="C54" s="47">
        <f>BS_Q2_Lease</f>
        <v>86136</v>
      </c>
      <c r="D54" s="47">
        <f>BS_Q2_Lease</f>
        <v>86136</v>
      </c>
      <c r="E54" s="47">
        <f>BS_Q2_Lease</f>
        <v>86136</v>
      </c>
      <c r="F54" s="47">
        <f>BS_Q2_Lease</f>
        <v>86136</v>
      </c>
      <c r="G54" s="25" t="s">
        <v>794</v>
      </c>
      <c r="H54" s="6" t="s">
        <v>867</v>
      </c>
    </row>
    <row r="55" spans="1:8" x14ac:dyDescent="0.3">
      <c r="A55" s="34" t="s">
        <v>868</v>
      </c>
      <c r="B55" s="47">
        <f>BS_Q2_DTL</f>
        <v>242</v>
      </c>
      <c r="C55" s="47">
        <f>BS_Q2_DTL</f>
        <v>242</v>
      </c>
      <c r="D55" s="47">
        <f>BS_Q2_DTL</f>
        <v>242</v>
      </c>
      <c r="E55" s="47">
        <f>BS_Q2_DTL</f>
        <v>242</v>
      </c>
      <c r="F55" s="47">
        <f>BS_Q2_DTL</f>
        <v>242</v>
      </c>
      <c r="G55" s="25" t="s">
        <v>797</v>
      </c>
      <c r="H55" s="6" t="s">
        <v>869</v>
      </c>
    </row>
    <row r="56" spans="1:8" x14ac:dyDescent="0.3">
      <c r="A56" s="4" t="s">
        <v>870</v>
      </c>
      <c r="B56" s="20">
        <f>B54+B55</f>
        <v>86378</v>
      </c>
      <c r="C56" s="20">
        <f>C54+C55</f>
        <v>86378</v>
      </c>
      <c r="D56" s="20">
        <f>D54+D55</f>
        <v>86378</v>
      </c>
      <c r="E56" s="20">
        <f>E54+E55</f>
        <v>86378</v>
      </c>
      <c r="F56" s="20">
        <f>F54+F55</f>
        <v>86378</v>
      </c>
      <c r="G56" s="25" t="s">
        <v>871</v>
      </c>
      <c r="H56" s="6" t="s">
        <v>872</v>
      </c>
    </row>
    <row r="57" spans="1:8" x14ac:dyDescent="0.3">
      <c r="A57" s="4" t="s">
        <v>317</v>
      </c>
      <c r="B57" s="20">
        <f>B51+B56</f>
        <v>720348.34458136023</v>
      </c>
      <c r="C57" s="20">
        <f>C51+C56</f>
        <v>817996.47836134036</v>
      </c>
      <c r="D57" s="20">
        <f>D51+D56</f>
        <v>937620.5212795824</v>
      </c>
      <c r="E57" s="20">
        <f>E51+E56</f>
        <v>1079857.7077828872</v>
      </c>
      <c r="F57" s="20">
        <f>F51+F56</f>
        <v>1248676.3880204763</v>
      </c>
      <c r="G57" s="25" t="s">
        <v>873</v>
      </c>
      <c r="H57" s="6" t="s">
        <v>874</v>
      </c>
    </row>
    <row r="59" spans="1:8" ht="18" customHeight="1" x14ac:dyDescent="0.3">
      <c r="A59" s="23" t="s">
        <v>875</v>
      </c>
      <c r="B59" s="23" t="s">
        <v>4</v>
      </c>
      <c r="C59" s="23" t="s">
        <v>4</v>
      </c>
      <c r="D59" s="23" t="s">
        <v>4</v>
      </c>
      <c r="E59" s="23" t="s">
        <v>4</v>
      </c>
      <c r="F59" s="23" t="s">
        <v>4</v>
      </c>
      <c r="G59" s="23" t="s">
        <v>4</v>
      </c>
      <c r="H59" s="23" t="s">
        <v>4</v>
      </c>
    </row>
    <row r="60" spans="1:8" x14ac:dyDescent="0.3">
      <c r="A60" s="34" t="s">
        <v>876</v>
      </c>
      <c r="B60" s="47">
        <f>BS_Q2_Common</f>
        <v>5</v>
      </c>
      <c r="C60" s="47">
        <f>BS_Q2_Common</f>
        <v>5</v>
      </c>
      <c r="D60" s="47">
        <f>BS_Q2_Common</f>
        <v>5</v>
      </c>
      <c r="E60" s="47">
        <f>BS_Q2_Common</f>
        <v>5</v>
      </c>
      <c r="F60" s="47">
        <f>BS_Q2_Common</f>
        <v>5</v>
      </c>
      <c r="G60" s="25" t="s">
        <v>800</v>
      </c>
      <c r="H60" s="6" t="s">
        <v>877</v>
      </c>
    </row>
    <row r="61" spans="1:8" x14ac:dyDescent="0.3">
      <c r="A61" s="34" t="s">
        <v>878</v>
      </c>
      <c r="B61" s="47">
        <f>BS_Q2_APIC+SBCBasis_FY2026+OptionBasis_FY2026+SettlementBasis_FY2026+BuybackBasis_FY2026</f>
        <v>1041292.2955151328</v>
      </c>
      <c r="C61" s="47">
        <f>B61+SBCBasis_FY2027+OptionBasis_FY2027+SettlementBasis_FY2027+BuybackBasis_FY2027</f>
        <v>1055562.6962118384</v>
      </c>
      <c r="D61" s="47">
        <f>C61+SBCBasis_FY2028+OptionBasis_FY2028+SettlementBasis_FY2028+BuybackBasis_FY2028</f>
        <v>1099676.7760450111</v>
      </c>
      <c r="E61" s="47">
        <f>D61+SBCBasis_FY2029+OptionBasis_FY2029+SettlementBasis_FY2029+BuybackBasis_FY2029</f>
        <v>1179276.0380516341</v>
      </c>
      <c r="F61" s="47">
        <f>E61+SBCBasis_FY2030+OptionBasis_FY2030+SettlementBasis_FY2030+BuybackBasis_FY2030</f>
        <v>1300992.0050478708</v>
      </c>
      <c r="G61" s="25" t="s">
        <v>879</v>
      </c>
      <c r="H61" s="6" t="s">
        <v>880</v>
      </c>
    </row>
    <row r="62" spans="1:8" x14ac:dyDescent="0.3">
      <c r="A62" s="34" t="s">
        <v>881</v>
      </c>
      <c r="B62" s="47">
        <f>BS_Q2_RE+CF_NI_Solved_FY2026</f>
        <v>459017.32626187796</v>
      </c>
      <c r="C62" s="47">
        <f>B62+NetIncome_FY2027</f>
        <v>672304.93106117728</v>
      </c>
      <c r="D62" s="47">
        <f>C62+NetIncome_FY2028</f>
        <v>921534.72720420233</v>
      </c>
      <c r="E62" s="47">
        <f>D62+NetIncome_FY2029</f>
        <v>1214350.4278013101</v>
      </c>
      <c r="F62" s="47">
        <f>E62+NetIncome_FY2030</f>
        <v>1559772.0858741514</v>
      </c>
      <c r="G62" s="25" t="s">
        <v>882</v>
      </c>
      <c r="H62" s="6" t="s">
        <v>883</v>
      </c>
    </row>
    <row r="63" spans="1:8" x14ac:dyDescent="0.3">
      <c r="A63" s="34" t="s">
        <v>884</v>
      </c>
      <c r="B63" s="47">
        <f>BS_Q2_Treasury</f>
        <v>-1425</v>
      </c>
      <c r="C63" s="47">
        <f>BS_Q2_Treasury</f>
        <v>-1425</v>
      </c>
      <c r="D63" s="47">
        <f>BS_Q2_Treasury</f>
        <v>-1425</v>
      </c>
      <c r="E63" s="47">
        <f>BS_Q2_Treasury</f>
        <v>-1425</v>
      </c>
      <c r="F63" s="47">
        <f>BS_Q2_Treasury</f>
        <v>-1425</v>
      </c>
      <c r="G63" s="25" t="s">
        <v>809</v>
      </c>
      <c r="H63" s="6" t="s">
        <v>885</v>
      </c>
    </row>
    <row r="64" spans="1:8" x14ac:dyDescent="0.3">
      <c r="A64" s="4" t="s">
        <v>886</v>
      </c>
      <c r="B64" s="20">
        <f>B60+B61+B62+B63</f>
        <v>1498889.6217770108</v>
      </c>
      <c r="C64" s="20">
        <f>C60+C61+C62+C63</f>
        <v>1726447.6272730157</v>
      </c>
      <c r="D64" s="20">
        <f>D60+D61+D62+D63</f>
        <v>2019791.5032492136</v>
      </c>
      <c r="E64" s="20">
        <f>E60+E61+E62+E63</f>
        <v>2392206.4658529442</v>
      </c>
      <c r="F64" s="20">
        <f>F60+F61+F62+F63</f>
        <v>2859344.0909220222</v>
      </c>
      <c r="G64" s="25" t="s">
        <v>887</v>
      </c>
      <c r="H64" s="6" t="s">
        <v>888</v>
      </c>
    </row>
    <row r="65" spans="1:8" x14ac:dyDescent="0.3">
      <c r="A65" s="4" t="s">
        <v>889</v>
      </c>
      <c r="B65" s="20">
        <f>B57+B64</f>
        <v>2219237.9663583711</v>
      </c>
      <c r="C65" s="20">
        <f>C57+C64</f>
        <v>2544444.1056343559</v>
      </c>
      <c r="D65" s="20">
        <f>D57+D64</f>
        <v>2957412.0245287959</v>
      </c>
      <c r="E65" s="20">
        <f>E57+E64</f>
        <v>3472064.1736358311</v>
      </c>
      <c r="F65" s="20">
        <f>F57+F64</f>
        <v>4108020.4789424986</v>
      </c>
      <c r="G65" s="25" t="s">
        <v>890</v>
      </c>
      <c r="H65" s="6" t="s">
        <v>891</v>
      </c>
    </row>
    <row r="67" spans="1:8" ht="18" customHeight="1" x14ac:dyDescent="0.3">
      <c r="A67" s="23" t="s">
        <v>443</v>
      </c>
      <c r="B67" s="23" t="s">
        <v>4</v>
      </c>
      <c r="C67" s="23" t="s">
        <v>4</v>
      </c>
      <c r="D67" s="23" t="s">
        <v>4</v>
      </c>
      <c r="E67" s="23" t="s">
        <v>4</v>
      </c>
      <c r="F67" s="23" t="s">
        <v>4</v>
      </c>
      <c r="G67" s="23" t="s">
        <v>4</v>
      </c>
      <c r="H67" s="23" t="s">
        <v>4</v>
      </c>
    </row>
    <row r="68" spans="1:8" x14ac:dyDescent="0.3">
      <c r="A68" s="4" t="s">
        <v>892</v>
      </c>
      <c r="B68" s="37" t="str">
        <f>IF(ABS(B44-B65)&lt;=Tolerance_USD,"OK","BREAK")</f>
        <v>OK</v>
      </c>
      <c r="C68" s="37" t="str">
        <f>IF(ABS(C44-C65)&lt;=Tolerance_USD,"OK","BREAK")</f>
        <v>OK</v>
      </c>
      <c r="D68" s="37" t="str">
        <f>IF(ABS(D44-D65)&lt;=Tolerance_USD,"OK","BREAK")</f>
        <v>OK</v>
      </c>
      <c r="E68" s="37" t="str">
        <f>IF(ABS(E44-E65)&lt;=Tolerance_USD,"OK","BREAK")</f>
        <v>OK</v>
      </c>
      <c r="F68" s="37" t="str">
        <f>IF(ABS(F44-F65)&lt;=Tolerance_USD,"OK","BREAK")</f>
        <v>OK</v>
      </c>
    </row>
    <row r="69" spans="1:8" x14ac:dyDescent="0.3">
      <c r="A69" s="4" t="s">
        <v>893</v>
      </c>
      <c r="B69" s="37" t="str">
        <f>IF(ABS(B26-CF_EndCash_FY2026)&lt;=Tolerance_USD,"OK","BREAK")</f>
        <v>OK</v>
      </c>
      <c r="C69" s="37" t="str">
        <f>IF(ABS(C26-CF_EndCash_FY2027)&lt;=Tolerance_USD,"OK","BREAK")</f>
        <v>OK</v>
      </c>
      <c r="D69" s="37" t="str">
        <f>IF(ABS(D26-CF_EndCash_FY2028)&lt;=Tolerance_USD,"OK","BREAK")</f>
        <v>OK</v>
      </c>
      <c r="E69" s="37" t="str">
        <f>IF(ABS(E26-CF_EndCash_FY2029)&lt;=Tolerance_USD,"OK","BREAK")</f>
        <v>OK</v>
      </c>
      <c r="F69" s="37" t="str">
        <f>IF(ABS(F26-CF_EndCash_FY2030)&lt;=Tolerance_USD,"OK","BREAK")</f>
        <v>OK</v>
      </c>
    </row>
    <row r="70" spans="1:8" x14ac:dyDescent="0.3">
      <c r="A70" s="4" t="s">
        <v>894</v>
      </c>
      <c r="B70" s="37" t="str">
        <f>IF(ABS(B44-B57-B64)&lt;=Tolerance_USD,"OK","BREAK")</f>
        <v>OK</v>
      </c>
      <c r="C70" s="37" t="str">
        <f>IF(ABS(C44-C57-C64)&lt;=Tolerance_USD,"OK","BREAK")</f>
        <v>OK</v>
      </c>
      <c r="D70" s="37" t="str">
        <f>IF(ABS(D44-D57-D64)&lt;=Tolerance_USD,"OK","BREAK")</f>
        <v>OK</v>
      </c>
      <c r="E70" s="37" t="str">
        <f>IF(ABS(E44-E57-E64)&lt;=Tolerance_USD,"OK","BREAK")</f>
        <v>OK</v>
      </c>
      <c r="F70" s="37" t="str">
        <f>IF(ABS(F44-F57-F64)&lt;=Tolerance_USD,"OK","BREAK")</f>
        <v>OK</v>
      </c>
    </row>
    <row r="71" spans="1:8" x14ac:dyDescent="0.3">
      <c r="A71" s="4" t="s">
        <v>895</v>
      </c>
      <c r="B71" s="37" t="str">
        <f>IF(ABS(B44-2219237.96635837)&lt;=Tolerance_USD,"OK","BREAK")</f>
        <v>OK</v>
      </c>
      <c r="C71" s="37" t="str">
        <f>IF(ABS(C44-2544444.10563435)&lt;=Tolerance_USD,"OK","BREAK")</f>
        <v>OK</v>
      </c>
      <c r="D71" s="37" t="str">
        <f>IF(ABS(D44-2957412.02452879)&lt;=Tolerance_USD,"OK","BREAK")</f>
        <v>OK</v>
      </c>
      <c r="E71" s="37" t="str">
        <f>IF(ABS(E44-3472064.17363583)&lt;=Tolerance_USD,"OK","BREAK")</f>
        <v>OK</v>
      </c>
      <c r="F71" s="37" t="str">
        <f>IF(ABS(F44-4108020.47894249)&lt;=Tolerance_USD,"OK","BREAK")</f>
        <v>OK</v>
      </c>
    </row>
    <row r="72" spans="1:8" x14ac:dyDescent="0.3">
      <c r="A72" s="4" t="s">
        <v>896</v>
      </c>
      <c r="B72" s="37" t="str">
        <f>IF(ABS(B57-720348.34458136)&lt;=Tolerance_USD,"OK","BREAK")</f>
        <v>OK</v>
      </c>
      <c r="C72" s="37" t="str">
        <f>IF(ABS(C57-817996.47836134)&lt;=Tolerance_USD,"OK","BREAK")</f>
        <v>OK</v>
      </c>
      <c r="D72" s="37" t="str">
        <f>IF(ABS(D57-937620.521279582)&lt;=Tolerance_USD,"OK","BREAK")</f>
        <v>OK</v>
      </c>
      <c r="E72" s="37" t="str">
        <f>IF(ABS(E57-1079857.70778288)&lt;=Tolerance_USD,"OK","BREAK")</f>
        <v>OK</v>
      </c>
      <c r="F72" s="37" t="str">
        <f>IF(ABS(F57-1248676.38802047)&lt;=Tolerance_USD,"OK","BREAK")</f>
        <v>OK</v>
      </c>
    </row>
    <row r="73" spans="1:8" x14ac:dyDescent="0.3">
      <c r="A73" s="4" t="s">
        <v>897</v>
      </c>
      <c r="B73" s="37" t="str">
        <f>IF(ABS(B64-1498889.62177701)&lt;=Tolerance_USD,"OK","BREAK")</f>
        <v>OK</v>
      </c>
      <c r="C73" s="37" t="str">
        <f>IF(ABS(C64-1726447.62727301)&lt;=Tolerance_USD,"OK","BREAK")</f>
        <v>OK</v>
      </c>
      <c r="D73" s="37" t="str">
        <f>IF(ABS(D64-2019791.50324921)&lt;=Tolerance_USD,"OK","BREAK")</f>
        <v>OK</v>
      </c>
      <c r="E73" s="37" t="str">
        <f>IF(ABS(E64-2392206.46585294)&lt;=Tolerance_USD,"OK","BREAK")</f>
        <v>OK</v>
      </c>
      <c r="F73" s="37" t="str">
        <f>IF(ABS(F64-2859344.09092202)&lt;=Tolerance_USD,"OK","BREAK")</f>
        <v>OK</v>
      </c>
    </row>
  </sheetData>
  <sheetProtection sheet="1"/>
  <mergeCells count="2">
    <mergeCell ref="A1:L1"/>
    <mergeCell ref="A2:L2"/>
  </mergeCells>
  <conditionalFormatting sqref="B68:F73">
    <cfRule type="expression" dxfId="47" priority="1">
      <formula>B68="OK"</formula>
    </cfRule>
    <cfRule type="expression" dxfId="46" priority="2">
      <formula>B68="BREAK"</formula>
    </cfRule>
  </conditionalFormatting>
  <pageMargins left="0.7" right="0.7" top="0.75" bottom="0.75" header="0.3" footer="0.3"/>
  <pageSetup fitToHeight="0" orientation="landscape"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C3AED"/>
    <pageSetUpPr fitToPage="1"/>
  </sheetPr>
  <dimension ref="A1:L56"/>
  <sheetViews>
    <sheetView workbookViewId="0">
      <pane xSplit="1" ySplit="4" topLeftCell="B5" activePane="bottomRight" state="frozen"/>
      <selection pane="topRight"/>
      <selection pane="bottomLeft"/>
      <selection pane="bottomRight"/>
    </sheetView>
  </sheetViews>
  <sheetFormatPr defaultRowHeight="14.4" x14ac:dyDescent="0.3"/>
  <cols>
    <col min="1" max="1" width="82" customWidth="1"/>
    <col min="2" max="6" width="18" customWidth="1"/>
    <col min="7" max="7" width="52" customWidth="1"/>
    <col min="8" max="8" width="65" customWidth="1"/>
  </cols>
  <sheetData>
    <row r="1" spans="1:12" ht="22.05" customHeight="1" x14ac:dyDescent="0.4">
      <c r="A1" s="78" t="s">
        <v>898</v>
      </c>
      <c r="B1" s="78"/>
      <c r="C1" s="78"/>
      <c r="D1" s="78"/>
      <c r="E1" s="78"/>
      <c r="F1" s="78"/>
      <c r="G1" s="78"/>
      <c r="H1" s="78"/>
      <c r="I1" s="78"/>
      <c r="J1" s="78"/>
      <c r="K1" s="78"/>
      <c r="L1" s="78"/>
    </row>
    <row r="2" spans="1:12" ht="16.05" customHeight="1" x14ac:dyDescent="0.3">
      <c r="A2" s="79" t="s">
        <v>899</v>
      </c>
      <c r="B2" s="79"/>
      <c r="C2" s="79"/>
      <c r="D2" s="79"/>
      <c r="E2" s="79"/>
      <c r="F2" s="79"/>
      <c r="G2" s="79"/>
      <c r="H2" s="79"/>
      <c r="I2" s="79"/>
      <c r="J2" s="79"/>
      <c r="K2" s="79"/>
      <c r="L2" s="79"/>
    </row>
    <row r="4" spans="1:12" ht="19.95" customHeight="1" x14ac:dyDescent="0.3">
      <c r="A4" s="2" t="s">
        <v>522</v>
      </c>
      <c r="B4" s="3" t="s">
        <v>209</v>
      </c>
      <c r="C4" s="3" t="s">
        <v>357</v>
      </c>
      <c r="D4" s="3" t="s">
        <v>358</v>
      </c>
      <c r="E4" s="3" t="s">
        <v>359</v>
      </c>
      <c r="F4" s="3" t="s">
        <v>212</v>
      </c>
      <c r="G4" s="3" t="s">
        <v>644</v>
      </c>
      <c r="H4" s="3" t="s">
        <v>103</v>
      </c>
    </row>
    <row r="5" spans="1:12" ht="18" customHeight="1" x14ac:dyDescent="0.3">
      <c r="A5" s="23" t="s">
        <v>900</v>
      </c>
      <c r="B5" s="23" t="s">
        <v>4</v>
      </c>
      <c r="C5" s="23" t="s">
        <v>4</v>
      </c>
      <c r="D5" s="23" t="s">
        <v>4</v>
      </c>
      <c r="E5" s="23" t="s">
        <v>4</v>
      </c>
      <c r="F5" s="23" t="s">
        <v>4</v>
      </c>
      <c r="G5" s="23" t="s">
        <v>4</v>
      </c>
      <c r="H5" s="23" t="s">
        <v>4</v>
      </c>
    </row>
    <row r="6" spans="1:12" x14ac:dyDescent="0.3">
      <c r="A6" s="34" t="s">
        <v>901</v>
      </c>
      <c r="B6" s="47">
        <f>Capex_PPE_FY2026/2</f>
        <v>10386.525599723111</v>
      </c>
      <c r="C6" s="47">
        <f>Capex_PPE_FY2027</f>
        <v>23969.110733001322</v>
      </c>
      <c r="D6" s="47">
        <f>Capex_PPE_FY2028</f>
        <v>27888.205200733617</v>
      </c>
      <c r="E6" s="47">
        <f>Capex_PPE_FY2029</f>
        <v>32548.146105020682</v>
      </c>
      <c r="F6" s="47">
        <f>Capex_PPE_FY2030</f>
        <v>38078.943590449177</v>
      </c>
      <c r="G6" s="25" t="s">
        <v>902</v>
      </c>
      <c r="H6" s="6" t="s">
        <v>903</v>
      </c>
    </row>
    <row r="7" spans="1:12" x14ac:dyDescent="0.3">
      <c r="A7" s="34" t="s">
        <v>904</v>
      </c>
      <c r="B7" s="47">
        <f>Capex_Soft_FY2026/2</f>
        <v>5372.3408274429876</v>
      </c>
      <c r="C7" s="47">
        <f>Capex_Soft_FY2027</f>
        <v>12397.815896379994</v>
      </c>
      <c r="D7" s="47">
        <f>Capex_Soft_FY2028</f>
        <v>14424.933724517388</v>
      </c>
      <c r="E7" s="47">
        <f>Capex_Soft_FY2029</f>
        <v>16835.247985355523</v>
      </c>
      <c r="F7" s="47">
        <f>Capex_Soft_FY2030</f>
        <v>19696.005305404746</v>
      </c>
      <c r="G7" s="25" t="s">
        <v>905</v>
      </c>
      <c r="H7" s="6" t="s">
        <v>906</v>
      </c>
    </row>
    <row r="8" spans="1:12" x14ac:dyDescent="0.3">
      <c r="A8" s="34" t="s">
        <v>907</v>
      </c>
      <c r="B8" s="47">
        <f>Deprec_FY2026/2</f>
        <v>2984.6337930238824</v>
      </c>
      <c r="C8" s="47">
        <f>Deprec_FY2027</f>
        <v>6887.6754979888865</v>
      </c>
      <c r="D8" s="47">
        <f>Deprec_FY2028</f>
        <v>8013.8520691763269</v>
      </c>
      <c r="E8" s="47">
        <f>Deprec_FY2029</f>
        <v>9352.915547419736</v>
      </c>
      <c r="F8" s="47">
        <f>Deprec_FY2030</f>
        <v>10942.225169669304</v>
      </c>
      <c r="G8" s="25" t="s">
        <v>908</v>
      </c>
      <c r="H8" s="6" t="s">
        <v>909</v>
      </c>
    </row>
    <row r="9" spans="1:12" x14ac:dyDescent="0.3">
      <c r="A9" s="34" t="s">
        <v>910</v>
      </c>
      <c r="B9" s="47">
        <f>Amort_FY2026/2</f>
        <v>5312.6481515825108</v>
      </c>
      <c r="C9" s="47">
        <f>Amort_FY2027</f>
        <v>12260.062386420217</v>
      </c>
      <c r="D9" s="47">
        <f>Amort_FY2028</f>
        <v>14264.656683133862</v>
      </c>
      <c r="E9" s="47">
        <f>Amort_FY2029</f>
        <v>16648.189674407131</v>
      </c>
      <c r="F9" s="47">
        <f>Amort_FY2030</f>
        <v>19477.16080201136</v>
      </c>
      <c r="G9" s="25" t="s">
        <v>911</v>
      </c>
      <c r="H9" s="6" t="s">
        <v>912</v>
      </c>
    </row>
    <row r="10" spans="1:12" x14ac:dyDescent="0.3">
      <c r="A10" s="34" t="s">
        <v>913</v>
      </c>
      <c r="B10" s="47">
        <f>SBC_FY2026/2</f>
        <v>79092.795515132879</v>
      </c>
      <c r="C10" s="47">
        <f>SBC_FY2027</f>
        <v>182523.4006967055</v>
      </c>
      <c r="D10" s="47">
        <f>SBC_FY2028</f>
        <v>212367.07983317267</v>
      </c>
      <c r="E10" s="47">
        <f>SBC_FY2029</f>
        <v>247852.26200662303</v>
      </c>
      <c r="F10" s="47">
        <f>SBC_FY2030</f>
        <v>289968.96699623659</v>
      </c>
      <c r="G10" s="25" t="s">
        <v>914</v>
      </c>
      <c r="H10" s="6" t="s">
        <v>915</v>
      </c>
    </row>
    <row r="11" spans="1:12" x14ac:dyDescent="0.3">
      <c r="A11" s="34" t="s">
        <v>916</v>
      </c>
      <c r="B11" s="47">
        <f>OptionProceeds_FY2026/2</f>
        <v>6285</v>
      </c>
      <c r="C11" s="47">
        <f>OptionProceeds_FY2027</f>
        <v>12570</v>
      </c>
      <c r="D11" s="47">
        <f>OptionProceeds_FY2028</f>
        <v>12570</v>
      </c>
      <c r="E11" s="47">
        <f>OptionProceeds_FY2029</f>
        <v>12570</v>
      </c>
      <c r="F11" s="47">
        <f>OptionProceeds_FY2030</f>
        <v>12570</v>
      </c>
      <c r="G11" s="25" t="s">
        <v>917</v>
      </c>
      <c r="H11" s="6" t="s">
        <v>918</v>
      </c>
    </row>
    <row r="12" spans="1:12" x14ac:dyDescent="0.3">
      <c r="A12" s="34" t="s">
        <v>919</v>
      </c>
      <c r="B12" s="47">
        <f>TaxSettlement_FY2026/2</f>
        <v>-20808.5</v>
      </c>
      <c r="C12" s="47">
        <f>TaxSettlement_FY2027</f>
        <v>-41617</v>
      </c>
      <c r="D12" s="47">
        <f>TaxSettlement_FY2028</f>
        <v>-41617</v>
      </c>
      <c r="E12" s="47">
        <f>TaxSettlement_FY2029</f>
        <v>-41617</v>
      </c>
      <c r="F12" s="47">
        <f>TaxSettlement_FY2030</f>
        <v>-41617</v>
      </c>
      <c r="G12" s="25" t="s">
        <v>920</v>
      </c>
      <c r="H12" s="6" t="s">
        <v>921</v>
      </c>
    </row>
    <row r="13" spans="1:12" x14ac:dyDescent="0.3">
      <c r="A13" s="34" t="s">
        <v>922</v>
      </c>
      <c r="B13" s="47">
        <f>ShareRepurchases_FY2026/2</f>
        <v>-69603</v>
      </c>
      <c r="C13" s="47">
        <f>ShareRepurchases_FY2027</f>
        <v>-139206</v>
      </c>
      <c r="D13" s="47">
        <f>ShareRepurchases_FY2028</f>
        <v>-139206</v>
      </c>
      <c r="E13" s="47">
        <f>ShareRepurchases_FY2029</f>
        <v>-139206</v>
      </c>
      <c r="F13" s="47">
        <f>ShareRepurchases_FY2030</f>
        <v>-139206</v>
      </c>
      <c r="G13" s="25" t="s">
        <v>923</v>
      </c>
      <c r="H13" s="6" t="s">
        <v>924</v>
      </c>
    </row>
    <row r="16" spans="1:12" ht="18" customHeight="1" x14ac:dyDescent="0.3">
      <c r="A16" s="23" t="s">
        <v>925</v>
      </c>
      <c r="B16" s="23" t="s">
        <v>4</v>
      </c>
      <c r="C16" s="23" t="s">
        <v>4</v>
      </c>
      <c r="D16" s="23" t="s">
        <v>4</v>
      </c>
      <c r="E16" s="23" t="s">
        <v>4</v>
      </c>
      <c r="F16" s="23" t="s">
        <v>4</v>
      </c>
      <c r="G16" s="23" t="s">
        <v>4</v>
      </c>
      <c r="H16" s="23" t="s">
        <v>4</v>
      </c>
    </row>
    <row r="17" spans="1:8" x14ac:dyDescent="0.3">
      <c r="A17" s="34" t="s">
        <v>926</v>
      </c>
      <c r="B17" s="11">
        <v>239031</v>
      </c>
      <c r="C17" s="44" t="s">
        <v>274</v>
      </c>
      <c r="D17" s="44" t="s">
        <v>274</v>
      </c>
      <c r="E17" s="44" t="s">
        <v>274</v>
      </c>
      <c r="F17" s="44" t="s">
        <v>274</v>
      </c>
      <c r="G17" s="25" t="s">
        <v>927</v>
      </c>
      <c r="H17" s="6" t="s">
        <v>928</v>
      </c>
    </row>
    <row r="18" spans="1:8" x14ac:dyDescent="0.3">
      <c r="A18" s="34" t="s">
        <v>929</v>
      </c>
      <c r="B18" s="11">
        <v>-8469</v>
      </c>
      <c r="C18" s="44" t="s">
        <v>274</v>
      </c>
      <c r="D18" s="44" t="s">
        <v>274</v>
      </c>
      <c r="E18" s="44" t="s">
        <v>274</v>
      </c>
      <c r="F18" s="44" t="s">
        <v>274</v>
      </c>
      <c r="G18" s="25" t="s">
        <v>927</v>
      </c>
      <c r="H18" s="6" t="s">
        <v>930</v>
      </c>
    </row>
    <row r="19" spans="1:8" x14ac:dyDescent="0.3">
      <c r="A19" s="34" t="s">
        <v>931</v>
      </c>
      <c r="B19" s="11">
        <v>-86064</v>
      </c>
      <c r="C19" s="44" t="s">
        <v>274</v>
      </c>
      <c r="D19" s="44" t="s">
        <v>274</v>
      </c>
      <c r="E19" s="44" t="s">
        <v>274</v>
      </c>
      <c r="F19" s="44" t="s">
        <v>274</v>
      </c>
      <c r="G19" s="25" t="s">
        <v>927</v>
      </c>
      <c r="H19" s="6" t="s">
        <v>932</v>
      </c>
    </row>
    <row r="20" spans="1:8" x14ac:dyDescent="0.3">
      <c r="A20" s="34" t="s">
        <v>933</v>
      </c>
      <c r="B20" s="11">
        <v>144498</v>
      </c>
      <c r="C20" s="44" t="s">
        <v>274</v>
      </c>
      <c r="D20" s="44" t="s">
        <v>274</v>
      </c>
      <c r="E20" s="44" t="s">
        <v>274</v>
      </c>
      <c r="F20" s="44" t="s">
        <v>274</v>
      </c>
      <c r="G20" s="25" t="s">
        <v>927</v>
      </c>
      <c r="H20" s="6" t="s">
        <v>934</v>
      </c>
    </row>
    <row r="22" spans="1:8" ht="18" customHeight="1" x14ac:dyDescent="0.3">
      <c r="A22" s="23" t="s">
        <v>935</v>
      </c>
      <c r="B22" s="23" t="s">
        <v>4</v>
      </c>
      <c r="C22" s="23" t="s">
        <v>4</v>
      </c>
      <c r="D22" s="23" t="s">
        <v>4</v>
      </c>
      <c r="E22" s="23" t="s">
        <v>4</v>
      </c>
      <c r="F22" s="23" t="s">
        <v>4</v>
      </c>
      <c r="G22" s="23" t="s">
        <v>4</v>
      </c>
      <c r="H22" s="23" t="s">
        <v>4</v>
      </c>
    </row>
    <row r="23" spans="1:8" x14ac:dyDescent="0.3">
      <c r="A23" s="34" t="s">
        <v>936</v>
      </c>
      <c r="B23" s="47">
        <f>CF_NI_Solved_FY2026</f>
        <v>94181.326261877955</v>
      </c>
      <c r="C23" s="47">
        <f>NetIncome_FY2027</f>
        <v>213287.60479929927</v>
      </c>
      <c r="D23" s="47">
        <f>NetIncome_FY2028</f>
        <v>249229.79614302504</v>
      </c>
      <c r="E23" s="47">
        <f>NetIncome_FY2029</f>
        <v>292815.70059710782</v>
      </c>
      <c r="F23" s="47">
        <f>NetIncome_FY2030</f>
        <v>345421.65807284124</v>
      </c>
      <c r="G23" s="25" t="s">
        <v>937</v>
      </c>
      <c r="H23" s="6" t="s">
        <v>938</v>
      </c>
    </row>
    <row r="24" spans="1:8" x14ac:dyDescent="0.3">
      <c r="A24" s="34" t="s">
        <v>327</v>
      </c>
      <c r="B24" s="47">
        <f>DepBasis_FY2026+AmortBasis_FY2026</f>
        <v>8297.2819446063932</v>
      </c>
      <c r="C24" s="47">
        <f>DepBasis_FY2027+AmortBasis_FY2027</f>
        <v>19147.737884409104</v>
      </c>
      <c r="D24" s="47">
        <f>DepBasis_FY2028+AmortBasis_FY2028</f>
        <v>22278.50875231019</v>
      </c>
      <c r="E24" s="47">
        <f>DepBasis_FY2029+AmortBasis_FY2029</f>
        <v>26001.105221826867</v>
      </c>
      <c r="F24" s="47">
        <f>DepBasis_FY2030+AmortBasis_FY2030</f>
        <v>30419.385971680662</v>
      </c>
      <c r="G24" s="25" t="s">
        <v>705</v>
      </c>
      <c r="H24" s="6" t="s">
        <v>939</v>
      </c>
    </row>
    <row r="25" spans="1:8" x14ac:dyDescent="0.3">
      <c r="A25" s="34" t="s">
        <v>328</v>
      </c>
      <c r="B25" s="47">
        <f>SBCBasis_FY2026</f>
        <v>79092.795515132879</v>
      </c>
      <c r="C25" s="47">
        <f>SBCBasis_FY2027</f>
        <v>182523.4006967055</v>
      </c>
      <c r="D25" s="47">
        <f>SBCBasis_FY2028</f>
        <v>212367.07983317267</v>
      </c>
      <c r="E25" s="47">
        <f>SBCBasis_FY2029</f>
        <v>247852.26200662303</v>
      </c>
      <c r="F25" s="47">
        <f>SBCBasis_FY2030</f>
        <v>289968.96699623659</v>
      </c>
      <c r="G25" s="25" t="s">
        <v>708</v>
      </c>
      <c r="H25" s="6" t="s">
        <v>709</v>
      </c>
    </row>
    <row r="26" spans="1:8" x14ac:dyDescent="0.3">
      <c r="A26" s="34" t="s">
        <v>940</v>
      </c>
      <c r="B26" s="47">
        <f>-(NWC_FY2026-NWC_Opening_Q2FY26)</f>
        <v>-27378.063793117122</v>
      </c>
      <c r="C26" s="47">
        <f>-(NWC_FY2027-NWC_FY2026)</f>
        <v>45219.622938442568</v>
      </c>
      <c r="D26" s="47">
        <f>-(NWC_FY2028-NWC_FY2027)</f>
        <v>55334.787779756822</v>
      </c>
      <c r="E26" s="47">
        <f>-(NWC_FY2029-NWC_FY2028)</f>
        <v>65795.005230924464</v>
      </c>
      <c r="F26" s="47">
        <f>-(NWC_FY2030-NWC_FY2029)</f>
        <v>78090.872171827243</v>
      </c>
      <c r="G26" s="25" t="s">
        <v>941</v>
      </c>
      <c r="H26" s="6" t="s">
        <v>942</v>
      </c>
    </row>
    <row r="27" spans="1:8" x14ac:dyDescent="0.3">
      <c r="A27" s="53" t="s">
        <v>943</v>
      </c>
      <c r="B27" s="36">
        <f>B23+B24+B25+B26</f>
        <v>154193.33992850012</v>
      </c>
      <c r="C27" s="44" t="s">
        <v>274</v>
      </c>
      <c r="D27" s="44" t="s">
        <v>274</v>
      </c>
      <c r="E27" s="44" t="s">
        <v>274</v>
      </c>
      <c r="F27" s="44" t="s">
        <v>274</v>
      </c>
      <c r="G27" s="25" t="s">
        <v>944</v>
      </c>
      <c r="H27" s="6" t="s">
        <v>945</v>
      </c>
    </row>
    <row r="28" spans="1:8" x14ac:dyDescent="0.3">
      <c r="A28" s="4" t="s">
        <v>946</v>
      </c>
      <c r="B28" s="19">
        <f>CF_H1_OCF+B27</f>
        <v>393224.33992850012</v>
      </c>
      <c r="C28" s="20">
        <f>C23+C24+C25+C26</f>
        <v>460178.36631885642</v>
      </c>
      <c r="D28" s="20">
        <f>D23+D24+D25+D26</f>
        <v>539210.17250826466</v>
      </c>
      <c r="E28" s="20">
        <f>E23+E24+E25+E26</f>
        <v>632464.07305648213</v>
      </c>
      <c r="F28" s="20">
        <f>F23+F24+F25+F26</f>
        <v>743900.8832125857</v>
      </c>
      <c r="G28" s="25" t="s">
        <v>947</v>
      </c>
      <c r="H28" s="6" t="s">
        <v>948</v>
      </c>
    </row>
    <row r="30" spans="1:8" ht="18" customHeight="1" x14ac:dyDescent="0.3">
      <c r="A30" s="23" t="s">
        <v>949</v>
      </c>
      <c r="B30" s="23" t="s">
        <v>4</v>
      </c>
      <c r="C30" s="23" t="s">
        <v>4</v>
      </c>
      <c r="D30" s="23" t="s">
        <v>4</v>
      </c>
      <c r="E30" s="23" t="s">
        <v>4</v>
      </c>
      <c r="F30" s="23" t="s">
        <v>4</v>
      </c>
      <c r="G30" s="23" t="s">
        <v>4</v>
      </c>
      <c r="H30" s="23" t="s">
        <v>4</v>
      </c>
    </row>
    <row r="31" spans="1:8" x14ac:dyDescent="0.3">
      <c r="A31" s="34" t="s">
        <v>330</v>
      </c>
      <c r="B31" s="47">
        <f>-CapexPPEBasis_FY2026</f>
        <v>-10386.525599723111</v>
      </c>
      <c r="C31" s="47">
        <f>-CapexPPEBasis_FY2027</f>
        <v>-23969.110733001322</v>
      </c>
      <c r="D31" s="47">
        <f>-CapexPPEBasis_FY2028</f>
        <v>-27888.205200733617</v>
      </c>
      <c r="E31" s="47">
        <f>-CapexPPEBasis_FY2029</f>
        <v>-32548.146105020682</v>
      </c>
      <c r="F31" s="47">
        <f>-CapexPPEBasis_FY2030</f>
        <v>-38078.943590449177</v>
      </c>
      <c r="G31" s="25" t="s">
        <v>950</v>
      </c>
      <c r="H31" s="6" t="s">
        <v>951</v>
      </c>
    </row>
    <row r="32" spans="1:8" x14ac:dyDescent="0.3">
      <c r="A32" s="34" t="s">
        <v>331</v>
      </c>
      <c r="B32" s="47">
        <f>-CapSoftBasis_FY2026</f>
        <v>-5372.3408274429876</v>
      </c>
      <c r="C32" s="47">
        <f>-CapSoftBasis_FY2027</f>
        <v>-12397.815896379994</v>
      </c>
      <c r="D32" s="47">
        <f>-CapSoftBasis_FY2028</f>
        <v>-14424.933724517388</v>
      </c>
      <c r="E32" s="47">
        <f>-CapSoftBasis_FY2029</f>
        <v>-16835.247985355523</v>
      </c>
      <c r="F32" s="47">
        <f>-CapSoftBasis_FY2030</f>
        <v>-19696.005305404746</v>
      </c>
      <c r="G32" s="25" t="s">
        <v>952</v>
      </c>
      <c r="H32" s="6" t="s">
        <v>953</v>
      </c>
    </row>
    <row r="33" spans="1:8" x14ac:dyDescent="0.3">
      <c r="A33" s="53" t="s">
        <v>954</v>
      </c>
      <c r="B33" s="36">
        <f>B31+B32</f>
        <v>-15758.866427166098</v>
      </c>
      <c r="C33" s="44" t="s">
        <v>274</v>
      </c>
      <c r="D33" s="44" t="s">
        <v>274</v>
      </c>
      <c r="E33" s="44" t="s">
        <v>274</v>
      </c>
      <c r="F33" s="44" t="s">
        <v>274</v>
      </c>
      <c r="G33" s="25" t="s">
        <v>955</v>
      </c>
      <c r="H33" s="6" t="s">
        <v>956</v>
      </c>
    </row>
    <row r="34" spans="1:8" x14ac:dyDescent="0.3">
      <c r="A34" s="4" t="s">
        <v>957</v>
      </c>
      <c r="B34" s="19">
        <f>CF_H1_ICF+B33</f>
        <v>-24227.866427166096</v>
      </c>
      <c r="C34" s="20">
        <f>C31+C32</f>
        <v>-36366.926629381313</v>
      </c>
      <c r="D34" s="20">
        <f>D31+D32</f>
        <v>-42313.138925251005</v>
      </c>
      <c r="E34" s="20">
        <f>E31+E32</f>
        <v>-49383.394090376205</v>
      </c>
      <c r="F34" s="20">
        <f>F31+F32</f>
        <v>-57774.948895853922</v>
      </c>
      <c r="G34" s="25" t="s">
        <v>958</v>
      </c>
      <c r="H34" s="6" t="s">
        <v>959</v>
      </c>
    </row>
    <row r="36" spans="1:8" ht="18" customHeight="1" x14ac:dyDescent="0.3">
      <c r="A36" s="23" t="s">
        <v>960</v>
      </c>
      <c r="B36" s="23" t="s">
        <v>4</v>
      </c>
      <c r="C36" s="23" t="s">
        <v>4</v>
      </c>
      <c r="D36" s="23" t="s">
        <v>4</v>
      </c>
      <c r="E36" s="23" t="s">
        <v>4</v>
      </c>
      <c r="F36" s="23" t="s">
        <v>4</v>
      </c>
      <c r="G36" s="23" t="s">
        <v>4</v>
      </c>
      <c r="H36" s="23" t="s">
        <v>4</v>
      </c>
    </row>
    <row r="37" spans="1:8" x14ac:dyDescent="0.3">
      <c r="A37" s="34" t="s">
        <v>961</v>
      </c>
      <c r="B37" s="47">
        <f>OptionBasis_FY2026</f>
        <v>6285</v>
      </c>
      <c r="C37" s="47">
        <f>OptionBasis_FY2027</f>
        <v>12570</v>
      </c>
      <c r="D37" s="47">
        <f>OptionBasis_FY2028</f>
        <v>12570</v>
      </c>
      <c r="E37" s="47">
        <f>OptionBasis_FY2029</f>
        <v>12570</v>
      </c>
      <c r="F37" s="47">
        <f>OptionBasis_FY2030</f>
        <v>12570</v>
      </c>
      <c r="G37" s="25" t="s">
        <v>962</v>
      </c>
      <c r="H37" s="6" t="s">
        <v>963</v>
      </c>
    </row>
    <row r="38" spans="1:8" x14ac:dyDescent="0.3">
      <c r="A38" s="34" t="s">
        <v>964</v>
      </c>
      <c r="B38" s="47">
        <f>SettlementBasis_FY2026</f>
        <v>-20808.5</v>
      </c>
      <c r="C38" s="47">
        <f>SettlementBasis_FY2027</f>
        <v>-41617</v>
      </c>
      <c r="D38" s="47">
        <f>SettlementBasis_FY2028</f>
        <v>-41617</v>
      </c>
      <c r="E38" s="47">
        <f>SettlementBasis_FY2029</f>
        <v>-41617</v>
      </c>
      <c r="F38" s="47">
        <f>SettlementBasis_FY2030</f>
        <v>-41617</v>
      </c>
      <c r="G38" s="25" t="s">
        <v>965</v>
      </c>
      <c r="H38" s="6" t="s">
        <v>966</v>
      </c>
    </row>
    <row r="39" spans="1:8" x14ac:dyDescent="0.3">
      <c r="A39" s="34" t="s">
        <v>967</v>
      </c>
      <c r="B39" s="47">
        <f>BuybackBasis_FY2026</f>
        <v>-69603</v>
      </c>
      <c r="C39" s="47">
        <f>BuybackBasis_FY2027</f>
        <v>-139206</v>
      </c>
      <c r="D39" s="47">
        <f>BuybackBasis_FY2028</f>
        <v>-139206</v>
      </c>
      <c r="E39" s="47">
        <f>BuybackBasis_FY2029</f>
        <v>-139206</v>
      </c>
      <c r="F39" s="47">
        <f>BuybackBasis_FY2030</f>
        <v>-139206</v>
      </c>
      <c r="G39" s="25" t="s">
        <v>968</v>
      </c>
      <c r="H39" s="6" t="s">
        <v>969</v>
      </c>
    </row>
    <row r="40" spans="1:8" x14ac:dyDescent="0.3">
      <c r="A40" s="53" t="s">
        <v>970</v>
      </c>
      <c r="B40" s="36">
        <f>B37+B38+B39</f>
        <v>-84126.5</v>
      </c>
      <c r="C40" s="44" t="s">
        <v>274</v>
      </c>
      <c r="D40" s="44" t="s">
        <v>274</v>
      </c>
      <c r="E40" s="44" t="s">
        <v>274</v>
      </c>
      <c r="F40" s="44" t="s">
        <v>274</v>
      </c>
      <c r="G40" s="25" t="s">
        <v>971</v>
      </c>
      <c r="H40" s="6" t="s">
        <v>972</v>
      </c>
    </row>
    <row r="41" spans="1:8" x14ac:dyDescent="0.3">
      <c r="A41" s="4" t="s">
        <v>973</v>
      </c>
      <c r="B41" s="19">
        <f>CF_H1_CFF+B40</f>
        <v>-170190.5</v>
      </c>
      <c r="C41" s="20">
        <f>C37+C38+C39</f>
        <v>-168253</v>
      </c>
      <c r="D41" s="20">
        <f>D37+D38+D39</f>
        <v>-168253</v>
      </c>
      <c r="E41" s="20">
        <f>E37+E38+E39</f>
        <v>-168253</v>
      </c>
      <c r="F41" s="20">
        <f>F37+F38+F39</f>
        <v>-168253</v>
      </c>
      <c r="G41" s="25" t="s">
        <v>974</v>
      </c>
      <c r="H41" s="6" t="s">
        <v>975</v>
      </c>
    </row>
    <row r="43" spans="1:8" ht="18" customHeight="1" x14ac:dyDescent="0.3">
      <c r="A43" s="23" t="s">
        <v>976</v>
      </c>
      <c r="B43" s="23" t="s">
        <v>4</v>
      </c>
      <c r="C43" s="23" t="s">
        <v>4</v>
      </c>
      <c r="D43" s="23" t="s">
        <v>4</v>
      </c>
      <c r="E43" s="23" t="s">
        <v>4</v>
      </c>
      <c r="F43" s="23" t="s">
        <v>4</v>
      </c>
      <c r="G43" s="23" t="s">
        <v>4</v>
      </c>
      <c r="H43" s="23" t="s">
        <v>4</v>
      </c>
    </row>
    <row r="44" spans="1:8" x14ac:dyDescent="0.3">
      <c r="A44" s="4" t="s">
        <v>977</v>
      </c>
      <c r="B44" s="19">
        <f>CF_H1_NetChange+(B27+B33+B40)</f>
        <v>198805.97350133403</v>
      </c>
      <c r="C44" s="20">
        <f>C28+C34+C41</f>
        <v>255558.43968947511</v>
      </c>
      <c r="D44" s="20">
        <f>D28+D34+D41</f>
        <v>328644.03358301363</v>
      </c>
      <c r="E44" s="20">
        <f>E28+E34+E41</f>
        <v>414827.67896610592</v>
      </c>
      <c r="F44" s="20">
        <f>F28+F34+F41</f>
        <v>517872.93431673176</v>
      </c>
      <c r="G44" s="25" t="s">
        <v>978</v>
      </c>
      <c r="H44" s="6" t="s">
        <v>979</v>
      </c>
    </row>
    <row r="45" spans="1:8" x14ac:dyDescent="0.3">
      <c r="A45" s="34" t="s">
        <v>980</v>
      </c>
      <c r="B45" s="47">
        <f>BS_Cash_Q2FY26</f>
        <v>1180887</v>
      </c>
      <c r="C45" s="36">
        <f>B46</f>
        <v>1235194.973501334</v>
      </c>
      <c r="D45" s="36">
        <f>C46</f>
        <v>1490753.4131908091</v>
      </c>
      <c r="E45" s="36">
        <f>D46</f>
        <v>1819397.4467738227</v>
      </c>
      <c r="F45" s="36">
        <f>E46</f>
        <v>2234225.1257399283</v>
      </c>
      <c r="G45" s="25" t="s">
        <v>981</v>
      </c>
      <c r="H45" s="6" t="s">
        <v>982</v>
      </c>
    </row>
    <row r="46" spans="1:8" x14ac:dyDescent="0.3">
      <c r="A46" s="4" t="s">
        <v>983</v>
      </c>
      <c r="B46" s="20">
        <f>B45+(B27+B33+B40)</f>
        <v>1235194.973501334</v>
      </c>
      <c r="C46" s="20">
        <f>C45+C44</f>
        <v>1490753.4131908091</v>
      </c>
      <c r="D46" s="20">
        <f>D45+D44</f>
        <v>1819397.4467738227</v>
      </c>
      <c r="E46" s="20">
        <f>E45+E44</f>
        <v>2234225.1257399283</v>
      </c>
      <c r="F46" s="20">
        <f>F45+F44</f>
        <v>2752098.0600566603</v>
      </c>
      <c r="G46" s="25" t="s">
        <v>984</v>
      </c>
      <c r="H46" s="6" t="s">
        <v>985</v>
      </c>
    </row>
    <row r="48" spans="1:8" x14ac:dyDescent="0.3">
      <c r="A48" s="54" t="s">
        <v>986</v>
      </c>
    </row>
    <row r="50" spans="1:8" ht="18" customHeight="1" x14ac:dyDescent="0.3">
      <c r="A50" s="23" t="s">
        <v>443</v>
      </c>
      <c r="B50" s="23" t="s">
        <v>4</v>
      </c>
      <c r="C50" s="23" t="s">
        <v>4</v>
      </c>
      <c r="D50" s="23" t="s">
        <v>4</v>
      </c>
      <c r="E50" s="23" t="s">
        <v>4</v>
      </c>
      <c r="F50" s="23" t="s">
        <v>4</v>
      </c>
      <c r="G50" s="23" t="s">
        <v>4</v>
      </c>
      <c r="H50" s="23" t="s">
        <v>4</v>
      </c>
    </row>
    <row r="51" spans="1:8" x14ac:dyDescent="0.3">
      <c r="A51" s="4" t="s">
        <v>987</v>
      </c>
      <c r="B51" s="37" t="str">
        <f>IF(ABS((B28+B34+B41)-B44)&lt;=Tolerance_USD,"OK","BREAK")</f>
        <v>OK</v>
      </c>
      <c r="C51" s="37" t="str">
        <f>IF(ABS((C28+C34+C41)-C44)&lt;=Tolerance_USD,"OK","BREAK")</f>
        <v>OK</v>
      </c>
      <c r="D51" s="37" t="str">
        <f>IF(ABS((D28+D34+D41)-D44)&lt;=Tolerance_USD,"OK","BREAK")</f>
        <v>OK</v>
      </c>
      <c r="E51" s="37" t="str">
        <f>IF(ABS((E28+E34+E41)-E44)&lt;=Tolerance_USD,"OK","BREAK")</f>
        <v>OK</v>
      </c>
      <c r="F51" s="37" t="str">
        <f>IF(ABS((F28+F34+F41)-F44)&lt;=Tolerance_USD,"OK","BREAK")</f>
        <v>OK</v>
      </c>
    </row>
    <row r="52" spans="1:8" x14ac:dyDescent="0.3">
      <c r="A52" s="4" t="s">
        <v>988</v>
      </c>
      <c r="B52" s="37" t="str">
        <f>IF(ABS(C45-B46)&lt;=Tolerance_USD,"OK","BREAK")</f>
        <v>OK</v>
      </c>
      <c r="C52" s="37" t="str">
        <f>IF(ABS(D45-C46)&lt;=Tolerance_USD,"OK","BREAK")</f>
        <v>OK</v>
      </c>
      <c r="D52" s="37" t="str">
        <f>IF(ABS(E45-D46)&lt;=Tolerance_USD,"OK","BREAK")</f>
        <v>OK</v>
      </c>
      <c r="E52" s="37" t="str">
        <f>IF(ABS(F45-E46)&lt;=Tolerance_USD,"OK","BREAK")</f>
        <v>OK</v>
      </c>
      <c r="F52" s="38" t="s">
        <v>274</v>
      </c>
    </row>
    <row r="53" spans="1:8" x14ac:dyDescent="0.3">
      <c r="A53" s="4" t="s">
        <v>989</v>
      </c>
      <c r="B53" s="37" t="str">
        <f>IF(ABS(CF_H1_OCF+CF_H1_ICF+CF_H1_CFF-CF_H1_NetChange)&lt;=Tolerance_USD,"OK","BREAK")</f>
        <v>OK</v>
      </c>
      <c r="C53" s="38" t="s">
        <v>274</v>
      </c>
      <c r="D53" s="38" t="s">
        <v>274</v>
      </c>
      <c r="E53" s="38" t="s">
        <v>274</v>
      </c>
      <c r="F53" s="38" t="s">
        <v>274</v>
      </c>
    </row>
    <row r="54" spans="1:8" x14ac:dyDescent="0.3">
      <c r="A54" s="4" t="s">
        <v>990</v>
      </c>
      <c r="B54" s="37" t="str">
        <f>IF(ABS((B27+B33+B40)-(B44-CF_H1_NetChange))&lt;=Tolerance_USD,"OK","BREAK")</f>
        <v>OK</v>
      </c>
      <c r="C54" s="38" t="s">
        <v>274</v>
      </c>
      <c r="D54" s="38" t="s">
        <v>274</v>
      </c>
      <c r="E54" s="38" t="s">
        <v>274</v>
      </c>
      <c r="F54" s="38" t="s">
        <v>274</v>
      </c>
    </row>
    <row r="55" spans="1:8" x14ac:dyDescent="0.3">
      <c r="A55" s="4" t="s">
        <v>991</v>
      </c>
      <c r="B55" s="37" t="str">
        <f>IF(ABS(B28-393224.3399285)&lt;=Tolerance_USD,"OK","BREAK")</f>
        <v>OK</v>
      </c>
      <c r="C55" s="37" t="str">
        <f>IF(ABS(C28-460178.366318856)&lt;=Tolerance_USD,"OK","BREAK")</f>
        <v>OK</v>
      </c>
      <c r="D55" s="37" t="str">
        <f>IF(ABS(D28-539210.172508264)&lt;=Tolerance_USD,"OK","BREAK")</f>
        <v>OK</v>
      </c>
      <c r="E55" s="37" t="str">
        <f>IF(ABS(E28-632464.073056482)&lt;=Tolerance_USD,"OK","BREAK")</f>
        <v>OK</v>
      </c>
      <c r="F55" s="37" t="str">
        <f>IF(ABS(F28-743900.883212586)&lt;=Tolerance_USD,"OK","BREAK")</f>
        <v>OK</v>
      </c>
    </row>
    <row r="56" spans="1:8" x14ac:dyDescent="0.3">
      <c r="A56" s="4" t="s">
        <v>992</v>
      </c>
      <c r="B56" s="37" t="str">
        <f>IF(ABS(B46-1235194.97350133)&lt;=Tolerance_USD,"OK","BREAK")</f>
        <v>OK</v>
      </c>
      <c r="C56" s="37" t="str">
        <f>IF(ABS(C46-1490753.4131908)&lt;=Tolerance_USD,"OK","BREAK")</f>
        <v>OK</v>
      </c>
      <c r="D56" s="37" t="str">
        <f>IF(ABS(D46-1819397.44677382)&lt;=Tolerance_USD,"OK","BREAK")</f>
        <v>OK</v>
      </c>
      <c r="E56" s="37" t="str">
        <f>IF(ABS(E46-2234225.12573992)&lt;=Tolerance_USD,"OK","BREAK")</f>
        <v>OK</v>
      </c>
      <c r="F56" s="37" t="str">
        <f>IF(ABS(F46-2752098.06005666)&lt;=Tolerance_USD,"OK","BREAK")</f>
        <v>OK</v>
      </c>
    </row>
  </sheetData>
  <sheetProtection sheet="1"/>
  <mergeCells count="2">
    <mergeCell ref="A1:L1"/>
    <mergeCell ref="A2:L2"/>
  </mergeCells>
  <conditionalFormatting sqref="B53:B54">
    <cfRule type="expression" dxfId="45" priority="5">
      <formula>B53="OK"</formula>
    </cfRule>
    <cfRule type="expression" dxfId="44" priority="6">
      <formula>B53="BREAK"</formula>
    </cfRule>
  </conditionalFormatting>
  <conditionalFormatting sqref="B52:E52">
    <cfRule type="expression" dxfId="43" priority="3">
      <formula>B52="OK"</formula>
    </cfRule>
    <cfRule type="expression" dxfId="42" priority="4">
      <formula>B52="BREAK"</formula>
    </cfRule>
  </conditionalFormatting>
  <conditionalFormatting sqref="B51:F51">
    <cfRule type="expression" dxfId="41" priority="1">
      <formula>B51="OK"</formula>
    </cfRule>
    <cfRule type="expression" dxfId="40" priority="2">
      <formula>B51="BREAK"</formula>
    </cfRule>
  </conditionalFormatting>
  <conditionalFormatting sqref="B55:F56">
    <cfRule type="expression" dxfId="39" priority="9">
      <formula>B55="OK"</formula>
    </cfRule>
    <cfRule type="expression" dxfId="38" priority="10">
      <formula>B55="BREAK"</formula>
    </cfRule>
  </conditionalFormatting>
  <pageMargins left="0.7" right="0.7" top="0.75" bottom="0.75" header="0.3" footer="0.3"/>
  <pageSetup fitToHeight="0" orientation="landscape"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F766E"/>
    <pageSetUpPr fitToPage="1"/>
  </sheetPr>
  <dimension ref="A1:L141"/>
  <sheetViews>
    <sheetView workbookViewId="0">
      <pane xSplit="1" ySplit="4" topLeftCell="B5" activePane="bottomRight" state="frozen"/>
      <selection pane="topRight"/>
      <selection pane="bottomLeft"/>
      <selection pane="bottomRight"/>
    </sheetView>
  </sheetViews>
  <sheetFormatPr defaultRowHeight="14.4" x14ac:dyDescent="0.3"/>
  <cols>
    <col min="1" max="1" width="85" customWidth="1"/>
    <col min="2" max="11" width="18" customWidth="1"/>
  </cols>
  <sheetData>
    <row r="1" spans="1:12" ht="22.05" customHeight="1" x14ac:dyDescent="0.4">
      <c r="A1" s="78" t="s">
        <v>993</v>
      </c>
      <c r="B1" s="78"/>
      <c r="C1" s="78"/>
      <c r="D1" s="78"/>
      <c r="E1" s="78"/>
      <c r="F1" s="78"/>
      <c r="G1" s="78"/>
      <c r="H1" s="78"/>
      <c r="I1" s="78"/>
      <c r="J1" s="78"/>
      <c r="K1" s="78"/>
      <c r="L1" s="78"/>
    </row>
    <row r="2" spans="1:12" ht="16.05" customHeight="1" x14ac:dyDescent="0.3">
      <c r="A2" s="79" t="s">
        <v>994</v>
      </c>
      <c r="B2" s="79"/>
      <c r="C2" s="79"/>
      <c r="D2" s="79"/>
      <c r="E2" s="79"/>
      <c r="F2" s="79"/>
      <c r="G2" s="79"/>
      <c r="H2" s="79"/>
      <c r="I2" s="79"/>
      <c r="J2" s="79"/>
      <c r="K2" s="79"/>
      <c r="L2" s="79"/>
    </row>
    <row r="3" spans="1:12" x14ac:dyDescent="0.3">
      <c r="A3" s="79" t="s">
        <v>995</v>
      </c>
      <c r="B3" s="79"/>
      <c r="C3" s="79"/>
      <c r="D3" s="79"/>
      <c r="E3" s="79"/>
      <c r="F3" s="79"/>
      <c r="G3" s="79"/>
      <c r="H3" s="79"/>
      <c r="I3" s="79"/>
      <c r="J3" s="79"/>
      <c r="K3" s="79"/>
    </row>
    <row r="4" spans="1:12" ht="19.95" customHeight="1" x14ac:dyDescent="0.3">
      <c r="A4" s="2" t="s">
        <v>996</v>
      </c>
      <c r="B4" s="3" t="s">
        <v>209</v>
      </c>
      <c r="C4" s="3" t="s">
        <v>357</v>
      </c>
      <c r="D4" s="3" t="s">
        <v>358</v>
      </c>
      <c r="E4" s="3" t="s">
        <v>359</v>
      </c>
      <c r="F4" s="3" t="s">
        <v>212</v>
      </c>
      <c r="G4" s="3" t="s">
        <v>219</v>
      </c>
      <c r="H4" s="3" t="s">
        <v>997</v>
      </c>
      <c r="I4" s="3" t="s">
        <v>998</v>
      </c>
      <c r="J4" s="3" t="s">
        <v>999</v>
      </c>
      <c r="K4" s="3" t="s">
        <v>222</v>
      </c>
    </row>
    <row r="5" spans="1:12" ht="18" customHeight="1" x14ac:dyDescent="0.3">
      <c r="A5" s="23" t="s">
        <v>1000</v>
      </c>
    </row>
    <row r="6" spans="1:12" x14ac:dyDescent="0.3">
      <c r="A6" s="4" t="s">
        <v>1001</v>
      </c>
      <c r="B6" s="55" t="str">
        <f>Stage1_Label</f>
        <v>FY2026–FY2030</v>
      </c>
      <c r="C6" s="55" t="str">
        <f>Stage1_Label</f>
        <v>FY2026–FY2030</v>
      </c>
      <c r="D6" s="55" t="str">
        <f>Stage1_Label</f>
        <v>FY2026–FY2030</v>
      </c>
      <c r="E6" s="55" t="str">
        <f>Stage1_Label</f>
        <v>FY2026–FY2030</v>
      </c>
      <c r="F6" s="55" t="str">
        <f>Stage1_Label</f>
        <v>FY2026–FY2030</v>
      </c>
      <c r="G6" s="55" t="str">
        <f>Stage2_Label</f>
        <v>FY2031–FY2035</v>
      </c>
      <c r="H6" s="55" t="str">
        <f>Stage2_Label</f>
        <v>FY2031–FY2035</v>
      </c>
      <c r="I6" s="55" t="str">
        <f>Stage2_Label</f>
        <v>FY2031–FY2035</v>
      </c>
      <c r="J6" s="55" t="str">
        <f>Stage2_Label</f>
        <v>FY2031–FY2035</v>
      </c>
      <c r="K6" s="55" t="str">
        <f>Stage2_Label</f>
        <v>FY2031–FY2035</v>
      </c>
    </row>
    <row r="7" spans="1:12" x14ac:dyDescent="0.3">
      <c r="A7" s="4" t="s">
        <v>1002</v>
      </c>
      <c r="B7" s="56" t="str">
        <f>Stage3_Label</f>
        <v>Gordon Perpetuity on FY2035</v>
      </c>
    </row>
    <row r="8" spans="1:12" x14ac:dyDescent="0.3">
      <c r="A8" s="57" t="s">
        <v>1003</v>
      </c>
      <c r="B8" s="37" t="str">
        <f>IF(B6=Stage1_Label,"OK","BREAK")</f>
        <v>OK</v>
      </c>
      <c r="C8" s="37" t="str">
        <f>IF(C6=Stage1_Label,"OK","BREAK")</f>
        <v>OK</v>
      </c>
      <c r="D8" s="37" t="str">
        <f>IF(D6=Stage1_Label,"OK","BREAK")</f>
        <v>OK</v>
      </c>
    </row>
    <row r="9" spans="1:12" x14ac:dyDescent="0.3">
      <c r="A9" s="57" t="s">
        <v>1004</v>
      </c>
      <c r="E9" s="37" t="str">
        <f>IF(E6=Stage1_Label,"OK","BREAK")</f>
        <v>OK</v>
      </c>
      <c r="F9" s="37" t="str">
        <f>IF(F6=Stage1_Label,"OK","BREAK")</f>
        <v>OK</v>
      </c>
    </row>
    <row r="10" spans="1:12" x14ac:dyDescent="0.3">
      <c r="A10" s="57" t="s">
        <v>1005</v>
      </c>
      <c r="G10" s="37" t="str">
        <f>IF(G6=Stage2_Label,"OK","BREAK")</f>
        <v>OK</v>
      </c>
      <c r="H10" s="37" t="str">
        <f>IF(H6=Stage2_Label,"OK","BREAK")</f>
        <v>OK</v>
      </c>
      <c r="I10" s="37" t="str">
        <f>IF(I6=Stage2_Label,"OK","BREAK")</f>
        <v>OK</v>
      </c>
      <c r="J10" s="37" t="str">
        <f>IF(J6=Stage2_Label,"OK","BREAK")</f>
        <v>OK</v>
      </c>
      <c r="K10" s="37" t="str">
        <f>IF(K6=Stage2_Label,"OK","BREAK")</f>
        <v>OK</v>
      </c>
    </row>
    <row r="11" spans="1:12" x14ac:dyDescent="0.3">
      <c r="A11" s="57" t="s">
        <v>1006</v>
      </c>
      <c r="B11" s="37" t="str">
        <f>IF(Stage2_First_Year-Stage1_Last_Year=1,"OK","BREAK")</f>
        <v>OK</v>
      </c>
    </row>
    <row r="12" spans="1:12" x14ac:dyDescent="0.3">
      <c r="A12" s="57" t="s">
        <v>1007</v>
      </c>
      <c r="B12" s="37" t="str">
        <f>IF(B7=Stage3_Label,"OK","BREAK")</f>
        <v>OK</v>
      </c>
    </row>
    <row r="13" spans="1:12" ht="18" customHeight="1" x14ac:dyDescent="0.3">
      <c r="A13" s="23" t="s">
        <v>1008</v>
      </c>
    </row>
    <row r="14" spans="1:12" x14ac:dyDescent="0.3">
      <c r="A14" s="34" t="s">
        <v>1009</v>
      </c>
      <c r="B14" s="58" t="s">
        <v>1010</v>
      </c>
    </row>
    <row r="15" spans="1:12" x14ac:dyDescent="0.3">
      <c r="A15" s="34" t="s">
        <v>1011</v>
      </c>
      <c r="B15" s="58" t="s">
        <v>1012</v>
      </c>
    </row>
    <row r="16" spans="1:12" x14ac:dyDescent="0.3">
      <c r="A16" s="34" t="s">
        <v>1013</v>
      </c>
      <c r="B16" s="58" t="s">
        <v>1014</v>
      </c>
    </row>
    <row r="17" spans="1:11" x14ac:dyDescent="0.3">
      <c r="A17" s="34" t="s">
        <v>1015</v>
      </c>
      <c r="B17" s="13">
        <v>365</v>
      </c>
    </row>
    <row r="18" spans="1:11" x14ac:dyDescent="0.3">
      <c r="A18" s="34" t="s">
        <v>1016</v>
      </c>
      <c r="B18" s="13">
        <v>184</v>
      </c>
    </row>
    <row r="19" spans="1:11" x14ac:dyDescent="0.3">
      <c r="A19" s="34" t="s">
        <v>1017</v>
      </c>
      <c r="B19" s="13">
        <v>64</v>
      </c>
    </row>
    <row r="20" spans="1:11" x14ac:dyDescent="0.3">
      <c r="A20" s="34" t="s">
        <v>1018</v>
      </c>
      <c r="B20" s="13">
        <v>120</v>
      </c>
    </row>
    <row r="21" spans="1:11" x14ac:dyDescent="0.3">
      <c r="A21" s="34" t="s">
        <v>1019</v>
      </c>
      <c r="B21" s="59">
        <f>B19/B18</f>
        <v>0.34782608695652173</v>
      </c>
    </row>
    <row r="22" spans="1:11" x14ac:dyDescent="0.3">
      <c r="A22" s="34" t="s">
        <v>1020</v>
      </c>
      <c r="B22" s="59">
        <f>B20/B18</f>
        <v>0.65217391304347827</v>
      </c>
    </row>
    <row r="23" spans="1:11" x14ac:dyDescent="0.3">
      <c r="A23" s="57" t="s">
        <v>1021</v>
      </c>
      <c r="B23" s="37" t="str">
        <f>IF(ABS(B19+B20-B18)&lt;=0.5,"OK","BREAK")</f>
        <v>OK</v>
      </c>
    </row>
    <row r="24" spans="1:11" x14ac:dyDescent="0.3">
      <c r="A24" s="34" t="s">
        <v>1022</v>
      </c>
      <c r="B24" s="50">
        <f>Cover_WACC</f>
        <v>0.111225</v>
      </c>
    </row>
    <row r="25" spans="1:11" x14ac:dyDescent="0.3">
      <c r="A25" s="34" t="s">
        <v>1023</v>
      </c>
      <c r="B25" s="50">
        <f>Assumption_risk_free_rate+Assumption_beta*Assumption_equity_risk_premium</f>
        <v>0.111225</v>
      </c>
    </row>
    <row r="26" spans="1:11" x14ac:dyDescent="0.3">
      <c r="A26" s="34" t="s">
        <v>1024</v>
      </c>
      <c r="B26" s="43">
        <f>Cover_TerminalGrowth</f>
        <v>2.5000000000000001E-2</v>
      </c>
    </row>
    <row r="27" spans="1:11" x14ac:dyDescent="0.3">
      <c r="A27" s="57" t="s">
        <v>1025</v>
      </c>
      <c r="B27" s="37" t="str">
        <f>IF(ABS(B24-B25)&lt;=0.0000001,"OK","BREAK")</f>
        <v>OK</v>
      </c>
    </row>
    <row r="28" spans="1:11" x14ac:dyDescent="0.3">
      <c r="A28" s="57" t="s">
        <v>1026</v>
      </c>
      <c r="B28" s="37" t="str">
        <f>IF(B24-B26&gt;0,"OK","BREAK")</f>
        <v>OK</v>
      </c>
    </row>
    <row r="29" spans="1:11" x14ac:dyDescent="0.3">
      <c r="A29" s="34" t="s">
        <v>1027</v>
      </c>
      <c r="B29" s="41">
        <v>0.01</v>
      </c>
    </row>
    <row r="30" spans="1:11" x14ac:dyDescent="0.3">
      <c r="A30" s="34" t="s">
        <v>1028</v>
      </c>
      <c r="B30" s="13">
        <v>1000</v>
      </c>
    </row>
    <row r="31" spans="1:11" ht="18" customHeight="1" x14ac:dyDescent="0.3">
      <c r="A31" s="23" t="s">
        <v>1029</v>
      </c>
    </row>
    <row r="32" spans="1:11" x14ac:dyDescent="0.3">
      <c r="A32" s="34" t="s">
        <v>1030</v>
      </c>
      <c r="B32" s="47">
        <f>CF_OCF_FY2026</f>
        <v>393224.33992850012</v>
      </c>
      <c r="C32" s="47">
        <f>CF_OCF_FY2027</f>
        <v>460178.36631885642</v>
      </c>
      <c r="D32" s="47">
        <f>CF_OCF_FY2028</f>
        <v>539210.17250826466</v>
      </c>
      <c r="E32" s="47">
        <f>CF_OCF_FY2029</f>
        <v>632464.07305648213</v>
      </c>
      <c r="F32" s="47">
        <f>CF_OCF_FY2030</f>
        <v>743900.8832125857</v>
      </c>
      <c r="G32" s="11">
        <v>844015.36824492633</v>
      </c>
      <c r="H32" s="11">
        <v>921598.82453254331</v>
      </c>
      <c r="I32" s="11">
        <v>980525.14702710451</v>
      </c>
      <c r="J32" s="11">
        <v>1015942.9405716226</v>
      </c>
      <c r="K32" s="11">
        <v>1024823.0793942314</v>
      </c>
    </row>
    <row r="33" spans="1:11" x14ac:dyDescent="0.3">
      <c r="A33" s="34" t="s">
        <v>1031</v>
      </c>
      <c r="B33" s="47">
        <f>CF_ICF_FY2026</f>
        <v>-24227.866427166096</v>
      </c>
      <c r="C33" s="47">
        <f>CF_ICF_FY2027</f>
        <v>-36366.926629381313</v>
      </c>
      <c r="D33" s="47">
        <f>CF_ICF_FY2028</f>
        <v>-42313.138925251005</v>
      </c>
      <c r="E33" s="47">
        <f>CF_ICF_FY2029</f>
        <v>-49383.394090376205</v>
      </c>
      <c r="F33" s="47">
        <f>CF_ICF_FY2030</f>
        <v>-57774.948895853922</v>
      </c>
      <c r="G33" s="11">
        <v>-67439.795087013219</v>
      </c>
      <c r="H33" s="11">
        <v>-76791.786043093613</v>
      </c>
      <c r="I33" s="11">
        <v>-85243.799628190274</v>
      </c>
      <c r="J33" s="11">
        <v>-92187.895429668657</v>
      </c>
      <c r="K33" s="11">
        <v>-97061.373414799833</v>
      </c>
    </row>
    <row r="34" spans="1:11" x14ac:dyDescent="0.3">
      <c r="A34" s="34" t="s">
        <v>1032</v>
      </c>
      <c r="B34" s="47">
        <f>IS_InterestSolve_FY2026</f>
        <v>52645.472047327523</v>
      </c>
      <c r="C34" s="47">
        <f>IS_InterestSolve_FY2027</f>
        <v>64232.00540245181</v>
      </c>
      <c r="D34" s="47">
        <f>IS_InterestSolve_FY2028</f>
        <v>75968.340989259479</v>
      </c>
      <c r="E34" s="47">
        <f>IS_InterestSolve_FY2029</f>
        <v>90904.315958515013</v>
      </c>
      <c r="F34" s="47">
        <f>IS_InterestSolve_FY2030</f>
        <v>109641.80492906057</v>
      </c>
      <c r="G34" s="11">
        <v>132266.50957647251</v>
      </c>
      <c r="H34" s="11">
        <v>158079.03826616218</v>
      </c>
      <c r="I34" s="11">
        <v>186276.30660746648</v>
      </c>
      <c r="J34" s="11">
        <v>216059.60092841627</v>
      </c>
      <c r="K34" s="11">
        <v>246495.40941306931</v>
      </c>
    </row>
    <row r="35" spans="1:11" x14ac:dyDescent="0.3">
      <c r="A35" s="34" t="s">
        <v>1033</v>
      </c>
      <c r="B35" s="47">
        <f t="shared" ref="B35:K35" si="0">B34*(1-Assumption_effective_tax_rate)</f>
        <v>45579.133561774986</v>
      </c>
      <c r="C35" s="47">
        <f t="shared" si="0"/>
        <v>55610.464477307716</v>
      </c>
      <c r="D35" s="47">
        <f t="shared" si="0"/>
        <v>65771.490419976122</v>
      </c>
      <c r="E35" s="47">
        <f t="shared" si="0"/>
        <v>78702.684148983331</v>
      </c>
      <c r="F35" s="47">
        <f t="shared" si="0"/>
        <v>94925.133662457418</v>
      </c>
      <c r="G35" s="47">
        <f t="shared" si="0"/>
        <v>114513.03732857048</v>
      </c>
      <c r="H35" s="47">
        <f t="shared" si="0"/>
        <v>136860.87935488657</v>
      </c>
      <c r="I35" s="47">
        <f t="shared" si="0"/>
        <v>161273.3693530793</v>
      </c>
      <c r="J35" s="47">
        <f t="shared" si="0"/>
        <v>187059.00099379959</v>
      </c>
      <c r="K35" s="47">
        <f t="shared" si="0"/>
        <v>213409.56308460009</v>
      </c>
    </row>
    <row r="36" spans="1:11" x14ac:dyDescent="0.3">
      <c r="A36" s="4" t="s">
        <v>1034</v>
      </c>
      <c r="B36" s="20">
        <f t="shared" ref="B36:K36" si="1">B32+B33-B35</f>
        <v>323417.33993955905</v>
      </c>
      <c r="C36" s="20">
        <f t="shared" si="1"/>
        <v>368200.97521216737</v>
      </c>
      <c r="D36" s="20">
        <f t="shared" si="1"/>
        <v>431125.54316303751</v>
      </c>
      <c r="E36" s="20">
        <f t="shared" si="1"/>
        <v>504377.99481712258</v>
      </c>
      <c r="F36" s="20">
        <f t="shared" si="1"/>
        <v>591200.8006542743</v>
      </c>
      <c r="G36" s="20">
        <f t="shared" si="1"/>
        <v>662062.53582934255</v>
      </c>
      <c r="H36" s="20">
        <f t="shared" si="1"/>
        <v>707946.15913456306</v>
      </c>
      <c r="I36" s="20">
        <f t="shared" si="1"/>
        <v>734007.97804583493</v>
      </c>
      <c r="J36" s="20">
        <f t="shared" si="1"/>
        <v>736696.04414815432</v>
      </c>
      <c r="K36" s="20">
        <f t="shared" si="1"/>
        <v>714352.14289483149</v>
      </c>
    </row>
    <row r="37" spans="1:11" ht="18" customHeight="1" x14ac:dyDescent="0.3">
      <c r="A37" s="23" t="s">
        <v>1035</v>
      </c>
    </row>
    <row r="38" spans="1:11" x14ac:dyDescent="0.3">
      <c r="A38" s="34" t="s">
        <v>1036</v>
      </c>
      <c r="B38" s="47">
        <f>CF_H1_OCF+CF_H1_ICF-IS_Interest_H1_Cited*(1-Assumption_effective_tax_rate)</f>
        <v>210093.34745</v>
      </c>
    </row>
    <row r="39" spans="1:11" x14ac:dyDescent="0.3">
      <c r="A39" s="34" t="s">
        <v>1037</v>
      </c>
      <c r="B39" s="47">
        <f>CF_OCF_H2_FY2026+CF_ICF_H2_FY2026-IS_InterestSolved_FY2026*(1-Assumption_effective_tax_rate)</f>
        <v>113323.99248955904</v>
      </c>
    </row>
    <row r="40" spans="1:11" x14ac:dyDescent="0.3">
      <c r="A40" s="34" t="s">
        <v>1038</v>
      </c>
      <c r="B40" s="36">
        <f>B39*B21</f>
        <v>39417.040865933581</v>
      </c>
    </row>
    <row r="41" spans="1:11" x14ac:dyDescent="0.3">
      <c r="A41" s="4" t="s">
        <v>1039</v>
      </c>
      <c r="B41" s="20">
        <f>B39-B40</f>
        <v>73906.951623625457</v>
      </c>
    </row>
    <row r="42" spans="1:11" x14ac:dyDescent="0.3">
      <c r="A42" s="57" t="s">
        <v>1040</v>
      </c>
      <c r="B42" s="37" t="str">
        <f>IF(ABS(B38+B40+B41-B36)&lt;=Tolerance_USD,"OK","BREAK")</f>
        <v>OK</v>
      </c>
    </row>
    <row r="43" spans="1:11" ht="18" customHeight="1" x14ac:dyDescent="0.3">
      <c r="A43" s="23" t="s">
        <v>1041</v>
      </c>
    </row>
    <row r="44" spans="1:11" x14ac:dyDescent="0.3">
      <c r="A44" s="34" t="s">
        <v>1042</v>
      </c>
      <c r="B44" s="60" t="s">
        <v>1043</v>
      </c>
      <c r="C44" s="60" t="s">
        <v>1044</v>
      </c>
      <c r="D44" s="60" t="s">
        <v>1045</v>
      </c>
      <c r="E44" s="60" t="s">
        <v>1046</v>
      </c>
      <c r="F44" s="60" t="s">
        <v>1047</v>
      </c>
      <c r="G44" s="60" t="s">
        <v>1048</v>
      </c>
      <c r="H44" s="60" t="s">
        <v>1049</v>
      </c>
      <c r="I44" s="60" t="s">
        <v>1050</v>
      </c>
      <c r="J44" s="60" t="s">
        <v>1051</v>
      </c>
      <c r="K44" s="60" t="s">
        <v>1014</v>
      </c>
    </row>
    <row r="45" spans="1:11" x14ac:dyDescent="0.3">
      <c r="A45" s="34" t="s">
        <v>1052</v>
      </c>
      <c r="B45" s="13">
        <v>120</v>
      </c>
      <c r="C45" s="13">
        <v>485</v>
      </c>
      <c r="D45" s="13">
        <v>851</v>
      </c>
      <c r="E45" s="13">
        <v>1216</v>
      </c>
      <c r="F45" s="13">
        <v>1581</v>
      </c>
      <c r="G45" s="13">
        <v>1946</v>
      </c>
      <c r="H45" s="13">
        <v>2312</v>
      </c>
      <c r="I45" s="13">
        <v>2677</v>
      </c>
      <c r="J45" s="13">
        <v>3042</v>
      </c>
      <c r="K45" s="13">
        <v>3407</v>
      </c>
    </row>
    <row r="46" spans="1:11" x14ac:dyDescent="0.3">
      <c r="A46" s="34" t="s">
        <v>1053</v>
      </c>
      <c r="B46" s="59">
        <f t="shared" ref="B46:K46" si="2">B45/$B$17</f>
        <v>0.32876712328767121</v>
      </c>
      <c r="C46" s="59">
        <f t="shared" si="2"/>
        <v>1.3287671232876712</v>
      </c>
      <c r="D46" s="59">
        <f t="shared" si="2"/>
        <v>2.3315068493150686</v>
      </c>
      <c r="E46" s="59">
        <f t="shared" si="2"/>
        <v>3.3315068493150686</v>
      </c>
      <c r="F46" s="59">
        <f t="shared" si="2"/>
        <v>4.3315068493150681</v>
      </c>
      <c r="G46" s="59">
        <f t="shared" si="2"/>
        <v>5.3315068493150681</v>
      </c>
      <c r="H46" s="59">
        <f t="shared" si="2"/>
        <v>6.3342465753424655</v>
      </c>
      <c r="I46" s="59">
        <f t="shared" si="2"/>
        <v>7.3342465753424655</v>
      </c>
      <c r="J46" s="59">
        <f t="shared" si="2"/>
        <v>8.3342465753424655</v>
      </c>
      <c r="K46" s="59">
        <f t="shared" si="2"/>
        <v>9.3342465753424655</v>
      </c>
    </row>
    <row r="47" spans="1:11" x14ac:dyDescent="0.3">
      <c r="A47" s="42" t="s">
        <v>1054</v>
      </c>
      <c r="B47" s="59">
        <f t="shared" ref="B47:K47" si="3">B46-0.5</f>
        <v>-0.17123287671232879</v>
      </c>
      <c r="C47" s="59">
        <f t="shared" si="3"/>
        <v>0.82876712328767121</v>
      </c>
      <c r="D47" s="59">
        <f t="shared" si="3"/>
        <v>1.8315068493150686</v>
      </c>
      <c r="E47" s="59">
        <f t="shared" si="3"/>
        <v>2.8315068493150686</v>
      </c>
      <c r="F47" s="59">
        <f t="shared" si="3"/>
        <v>3.8315068493150681</v>
      </c>
      <c r="G47" s="59">
        <f t="shared" si="3"/>
        <v>4.8315068493150681</v>
      </c>
      <c r="H47" s="59">
        <f t="shared" si="3"/>
        <v>5.8342465753424655</v>
      </c>
      <c r="I47" s="59">
        <f t="shared" si="3"/>
        <v>6.8342465753424655</v>
      </c>
      <c r="J47" s="59">
        <f t="shared" si="3"/>
        <v>7.8342465753424655</v>
      </c>
      <c r="K47" s="59">
        <f t="shared" si="3"/>
        <v>8.8342465753424655</v>
      </c>
    </row>
    <row r="48" spans="1:11" x14ac:dyDescent="0.3">
      <c r="A48" s="34" t="s">
        <v>1055</v>
      </c>
      <c r="B48" s="59">
        <f t="shared" ref="B48:K48" si="4">1/(1+$B$24)^B46</f>
        <v>0.96592144249624123</v>
      </c>
      <c r="C48" s="59">
        <f t="shared" si="4"/>
        <v>0.86924020112600175</v>
      </c>
      <c r="D48" s="59">
        <f t="shared" si="4"/>
        <v>0.78201001539466386</v>
      </c>
      <c r="E48" s="59">
        <f t="shared" si="4"/>
        <v>0.70373688082491304</v>
      </c>
      <c r="F48" s="59">
        <f t="shared" si="4"/>
        <v>0.63329827966875574</v>
      </c>
      <c r="G48" s="59">
        <f t="shared" si="4"/>
        <v>0.569910035923198</v>
      </c>
      <c r="H48" s="59">
        <f t="shared" si="4"/>
        <v>0.51271829741485941</v>
      </c>
      <c r="I48" s="59">
        <f t="shared" si="4"/>
        <v>0.46139917425801197</v>
      </c>
      <c r="J48" s="59">
        <f t="shared" si="4"/>
        <v>0.41521669712075598</v>
      </c>
      <c r="K48" s="59">
        <f t="shared" si="4"/>
        <v>0.37365672759410207</v>
      </c>
    </row>
    <row r="49" spans="1:11" x14ac:dyDescent="0.3">
      <c r="A49" s="4" t="s">
        <v>1056</v>
      </c>
      <c r="B49" s="20">
        <f>B41</f>
        <v>73906.951623625457</v>
      </c>
      <c r="C49" s="20">
        <f t="shared" ref="C49:K49" si="5">C36</f>
        <v>368200.97521216737</v>
      </c>
      <c r="D49" s="20">
        <f t="shared" si="5"/>
        <v>431125.54316303751</v>
      </c>
      <c r="E49" s="20">
        <f t="shared" si="5"/>
        <v>504377.99481712258</v>
      </c>
      <c r="F49" s="20">
        <f t="shared" si="5"/>
        <v>591200.8006542743</v>
      </c>
      <c r="G49" s="20">
        <f t="shared" si="5"/>
        <v>662062.53582934255</v>
      </c>
      <c r="H49" s="20">
        <f t="shared" si="5"/>
        <v>707946.15913456306</v>
      </c>
      <c r="I49" s="20">
        <f t="shared" si="5"/>
        <v>734007.97804583493</v>
      </c>
      <c r="J49" s="20">
        <f t="shared" si="5"/>
        <v>736696.04414815432</v>
      </c>
      <c r="K49" s="20">
        <f t="shared" si="5"/>
        <v>714352.14289483149</v>
      </c>
    </row>
    <row r="50" spans="1:11" x14ac:dyDescent="0.3">
      <c r="A50" s="4" t="s">
        <v>1057</v>
      </c>
      <c r="B50" s="20">
        <f t="shared" ref="B50:K50" si="6">B49*B48</f>
        <v>71388.309322792222</v>
      </c>
      <c r="C50" s="20">
        <f t="shared" si="6"/>
        <v>320055.08974821435</v>
      </c>
      <c r="D50" s="20">
        <f t="shared" si="6"/>
        <v>337144.49264595978</v>
      </c>
      <c r="E50" s="20">
        <f t="shared" si="6"/>
        <v>354949.396829326</v>
      </c>
      <c r="F50" s="20">
        <f t="shared" si="6"/>
        <v>374406.44999314292</v>
      </c>
      <c r="G50" s="20">
        <f t="shared" si="6"/>
        <v>377316.08357790415</v>
      </c>
      <c r="H50" s="20">
        <f t="shared" si="6"/>
        <v>362976.94937286229</v>
      </c>
      <c r="I50" s="20">
        <f t="shared" si="6"/>
        <v>338670.6749691412</v>
      </c>
      <c r="J50" s="20">
        <f t="shared" si="6"/>
        <v>305888.49823312327</v>
      </c>
      <c r="K50" s="20">
        <f t="shared" si="6"/>
        <v>266922.48406391713</v>
      </c>
    </row>
    <row r="51" spans="1:11" x14ac:dyDescent="0.3">
      <c r="A51" s="57" t="s">
        <v>1058</v>
      </c>
      <c r="B51" s="37" t="str">
        <f t="shared" ref="B51:K51" si="7">IF(ABS(B48-1/(1+$B$24)^B46)&lt;=0.000000001,"OK","BREAK")</f>
        <v>OK</v>
      </c>
      <c r="C51" s="37" t="str">
        <f t="shared" si="7"/>
        <v>OK</v>
      </c>
      <c r="D51" s="37" t="str">
        <f t="shared" si="7"/>
        <v>OK</v>
      </c>
      <c r="E51" s="37" t="str">
        <f t="shared" si="7"/>
        <v>OK</v>
      </c>
      <c r="F51" s="37" t="str">
        <f t="shared" si="7"/>
        <v>OK</v>
      </c>
      <c r="G51" s="37" t="str">
        <f t="shared" si="7"/>
        <v>OK</v>
      </c>
      <c r="H51" s="37" t="str">
        <f t="shared" si="7"/>
        <v>OK</v>
      </c>
      <c r="I51" s="37" t="str">
        <f t="shared" si="7"/>
        <v>OK</v>
      </c>
      <c r="J51" s="37" t="str">
        <f t="shared" si="7"/>
        <v>OK</v>
      </c>
      <c r="K51" s="37" t="str">
        <f t="shared" si="7"/>
        <v>OK</v>
      </c>
    </row>
    <row r="52" spans="1:11" ht="18" customHeight="1" x14ac:dyDescent="0.3">
      <c r="A52" s="23" t="s">
        <v>1059</v>
      </c>
    </row>
    <row r="53" spans="1:11" x14ac:dyDescent="0.3">
      <c r="A53" s="4" t="s">
        <v>1060</v>
      </c>
      <c r="B53" s="20">
        <f>B50+C50+D50+E50+F50</f>
        <v>1457943.7385394352</v>
      </c>
    </row>
    <row r="54" spans="1:11" x14ac:dyDescent="0.3">
      <c r="A54" s="4" t="s">
        <v>1061</v>
      </c>
      <c r="B54" s="20">
        <f>G50+H50+I50+J50+K50</f>
        <v>1651774.6902169478</v>
      </c>
    </row>
    <row r="55" spans="1:11" x14ac:dyDescent="0.3">
      <c r="A55" s="4" t="s">
        <v>1062</v>
      </c>
      <c r="B55" s="20">
        <f>B53+B54</f>
        <v>3109718.4287563832</v>
      </c>
    </row>
    <row r="56" spans="1:11" x14ac:dyDescent="0.3">
      <c r="A56" s="57" t="s">
        <v>1063</v>
      </c>
      <c r="B56" s="37" t="str">
        <f>IF(ABS((B50+C50+D50+E50+F50+G50+H50+I50+J50+K50)-B55)&lt;=Tolerance_USD,"OK","BREAK")</f>
        <v>OK</v>
      </c>
    </row>
    <row r="57" spans="1:11" x14ac:dyDescent="0.3">
      <c r="A57" s="57" t="s">
        <v>1064</v>
      </c>
      <c r="B57" s="37" t="str">
        <f>IF(ABS(B53+B54-B55)&lt;=Tolerance_USD,"OK","BREAK")</f>
        <v>OK</v>
      </c>
    </row>
    <row r="58" spans="1:11" ht="18" customHeight="1" x14ac:dyDescent="0.3">
      <c r="A58" s="23" t="s">
        <v>1065</v>
      </c>
    </row>
    <row r="59" spans="1:11" x14ac:dyDescent="0.3">
      <c r="A59" s="34" t="s">
        <v>1066</v>
      </c>
      <c r="B59" s="36">
        <f>K36</f>
        <v>714352.14289483149</v>
      </c>
    </row>
    <row r="60" spans="1:11" x14ac:dyDescent="0.3">
      <c r="A60" s="34" t="s">
        <v>1067</v>
      </c>
      <c r="B60" s="11">
        <v>-903242.30489556468</v>
      </c>
    </row>
    <row r="61" spans="1:11" x14ac:dyDescent="0.3">
      <c r="A61" s="34" t="s">
        <v>1068</v>
      </c>
      <c r="B61" s="11">
        <v>-857890.26284959388</v>
      </c>
    </row>
    <row r="62" spans="1:11" x14ac:dyDescent="0.3">
      <c r="A62" s="34" t="s">
        <v>1069</v>
      </c>
      <c r="B62" s="36">
        <f>-(B60-B61)</f>
        <v>45352.042045970797</v>
      </c>
    </row>
    <row r="63" spans="1:11" x14ac:dyDescent="0.3">
      <c r="A63" s="34" t="s">
        <v>1070</v>
      </c>
      <c r="B63" s="36">
        <f>-B60*B26</f>
        <v>22581.057622389118</v>
      </c>
    </row>
    <row r="64" spans="1:11" x14ac:dyDescent="0.3">
      <c r="A64" s="34" t="s">
        <v>1071</v>
      </c>
      <c r="B64" s="36">
        <f>B59-B62+B63</f>
        <v>691581.15847124986</v>
      </c>
    </row>
    <row r="65" spans="1:2" x14ac:dyDescent="0.3">
      <c r="A65" s="34" t="s">
        <v>1072</v>
      </c>
      <c r="B65" s="36">
        <f>B64*(1+B26)</f>
        <v>708870.68743303104</v>
      </c>
    </row>
    <row r="66" spans="1:2" x14ac:dyDescent="0.3">
      <c r="A66" s="34" t="s">
        <v>1073</v>
      </c>
      <c r="B66" s="36">
        <f>B65/(B24-B26)</f>
        <v>8221173.5277823266</v>
      </c>
    </row>
    <row r="67" spans="1:2" x14ac:dyDescent="0.3">
      <c r="A67" s="34" t="s">
        <v>1074</v>
      </c>
      <c r="B67" s="59">
        <f>K48</f>
        <v>0.37365672759410207</v>
      </c>
    </row>
    <row r="68" spans="1:2" x14ac:dyDescent="0.3">
      <c r="A68" s="34" t="s">
        <v>1075</v>
      </c>
      <c r="B68" s="36">
        <f>B66*B67</f>
        <v>3071896.797374404</v>
      </c>
    </row>
    <row r="69" spans="1:2" ht="18" customHeight="1" x14ac:dyDescent="0.3">
      <c r="A69" s="23" t="s">
        <v>1076</v>
      </c>
    </row>
    <row r="70" spans="1:2" x14ac:dyDescent="0.3">
      <c r="A70" s="34" t="s">
        <v>1077</v>
      </c>
      <c r="B70" s="36">
        <f>B55</f>
        <v>3109718.4287563832</v>
      </c>
    </row>
    <row r="71" spans="1:2" x14ac:dyDescent="0.3">
      <c r="A71" s="34" t="s">
        <v>1075</v>
      </c>
      <c r="B71" s="36">
        <f>B68</f>
        <v>3071896.797374404</v>
      </c>
    </row>
    <row r="72" spans="1:2" x14ac:dyDescent="0.3">
      <c r="A72" s="34" t="s">
        <v>1078</v>
      </c>
      <c r="B72" s="36">
        <f>B70+B71</f>
        <v>6181615.2261307873</v>
      </c>
    </row>
    <row r="73" spans="1:2" x14ac:dyDescent="0.3">
      <c r="A73" s="34" t="s">
        <v>1079</v>
      </c>
      <c r="B73" s="47">
        <f>BS_Q2_Cash</f>
        <v>1180887</v>
      </c>
    </row>
    <row r="74" spans="1:2" x14ac:dyDescent="0.3">
      <c r="A74" s="34" t="s">
        <v>1080</v>
      </c>
      <c r="B74" s="11">
        <v>18889.729913507486</v>
      </c>
    </row>
    <row r="75" spans="1:2" x14ac:dyDescent="0.3">
      <c r="A75" s="34" t="s">
        <v>1081</v>
      </c>
      <c r="B75" s="36">
        <f>B73+B74</f>
        <v>1199776.7299135076</v>
      </c>
    </row>
    <row r="76" spans="1:2" x14ac:dyDescent="0.3">
      <c r="A76" s="34" t="s">
        <v>1082</v>
      </c>
      <c r="B76" s="47">
        <f>BS_Q2_STI</f>
        <v>132979</v>
      </c>
    </row>
    <row r="77" spans="1:2" x14ac:dyDescent="0.3">
      <c r="A77" s="34" t="s">
        <v>1083</v>
      </c>
      <c r="B77" s="47">
        <f>BS_Q2_LTI</f>
        <v>102693</v>
      </c>
    </row>
    <row r="78" spans="1:2" x14ac:dyDescent="0.3">
      <c r="A78" s="34" t="s">
        <v>1084</v>
      </c>
      <c r="B78" s="11">
        <v>0</v>
      </c>
    </row>
    <row r="79" spans="1:2" x14ac:dyDescent="0.3">
      <c r="A79" s="34" t="s">
        <v>1085</v>
      </c>
      <c r="B79" s="36">
        <f>B75+B76+B77-B78</f>
        <v>1435448.7299135076</v>
      </c>
    </row>
    <row r="80" spans="1:2" x14ac:dyDescent="0.3">
      <c r="A80" s="34" t="s">
        <v>1086</v>
      </c>
      <c r="B80" s="36">
        <f>B72+B79</f>
        <v>7617063.9560442949</v>
      </c>
    </row>
    <row r="81" spans="1:2" x14ac:dyDescent="0.3">
      <c r="A81" s="57" t="s">
        <v>1087</v>
      </c>
      <c r="B81" s="37" t="str">
        <f>IF(ABS(B80-B72-B79)&lt;=Tolerance_USD,"OK","BREAK")</f>
        <v>OK</v>
      </c>
    </row>
    <row r="82" spans="1:2" x14ac:dyDescent="0.3">
      <c r="A82" s="57" t="s">
        <v>1088</v>
      </c>
      <c r="B82" s="37" t="str">
        <f>IF(ABS(B79-Cover_AsFiledNetCash-B74)&lt;=Tolerance_USD,"OK","BREAK")</f>
        <v>OK</v>
      </c>
    </row>
    <row r="83" spans="1:2" ht="18" customHeight="1" x14ac:dyDescent="0.3">
      <c r="A83" s="23" t="s">
        <v>1089</v>
      </c>
    </row>
    <row r="84" spans="1:2" x14ac:dyDescent="0.3">
      <c r="A84" s="34" t="s">
        <v>1090</v>
      </c>
      <c r="B84" s="61">
        <f>Cover_SharesDiluted</f>
        <v>50061458</v>
      </c>
    </row>
    <row r="85" spans="1:2" x14ac:dyDescent="0.3">
      <c r="A85" s="34" t="s">
        <v>1091</v>
      </c>
      <c r="B85" s="13">
        <v>66893351.783343546</v>
      </c>
    </row>
    <row r="86" spans="1:2" x14ac:dyDescent="0.3">
      <c r="A86" s="34" t="s">
        <v>1092</v>
      </c>
      <c r="B86" s="76">
        <f>1+B29</f>
        <v>1.01</v>
      </c>
    </row>
    <row r="87" spans="1:2" x14ac:dyDescent="0.3">
      <c r="A87" s="34" t="s">
        <v>1093</v>
      </c>
      <c r="B87" s="39">
        <f>B85*B86</f>
        <v>67562285.30117698</v>
      </c>
    </row>
    <row r="88" spans="1:2" x14ac:dyDescent="0.3">
      <c r="A88" s="34" t="s">
        <v>1094</v>
      </c>
      <c r="B88" s="62">
        <f>B80*$B$30/B87</f>
        <v>112.74136039195822</v>
      </c>
    </row>
    <row r="89" spans="1:2" x14ac:dyDescent="0.3">
      <c r="A89" s="34" t="s">
        <v>1095</v>
      </c>
      <c r="B89" s="62">
        <f>B80*$B$30/B85</f>
        <v>113.8687739958778</v>
      </c>
    </row>
    <row r="90" spans="1:2" x14ac:dyDescent="0.3">
      <c r="A90" s="34" t="s">
        <v>1096</v>
      </c>
      <c r="B90" s="62">
        <f>B80*$B$30/B84</f>
        <v>152.1542571941132</v>
      </c>
    </row>
    <row r="91" spans="1:2" x14ac:dyDescent="0.3">
      <c r="A91" s="34" t="s">
        <v>1097</v>
      </c>
      <c r="B91" s="62">
        <f>B90-B88</f>
        <v>39.412896802154975</v>
      </c>
    </row>
    <row r="92" spans="1:2" x14ac:dyDescent="0.3">
      <c r="A92" s="57" t="s">
        <v>1098</v>
      </c>
      <c r="B92" s="37" t="str">
        <f>IF(B90-B88&gt;0,"OK","BREAK")</f>
        <v>OK</v>
      </c>
    </row>
    <row r="93" spans="1:2" x14ac:dyDescent="0.3">
      <c r="A93" s="57" t="s">
        <v>1099</v>
      </c>
      <c r="B93" s="37" t="str">
        <f>IF(B88-B89&lt;=0,"OK","BREAK")</f>
        <v>OK</v>
      </c>
    </row>
    <row r="94" spans="1:2" x14ac:dyDescent="0.3">
      <c r="A94" s="57" t="s">
        <v>1100</v>
      </c>
      <c r="B94" s="37" t="str">
        <f>IF(ABS(B91-(B90-B88))&lt;=Tolerance_PerShare,"OK","BREAK")</f>
        <v>OK</v>
      </c>
    </row>
    <row r="95" spans="1:2" ht="18" customHeight="1" x14ac:dyDescent="0.3">
      <c r="A95" s="23" t="s">
        <v>1101</v>
      </c>
    </row>
    <row r="96" spans="1:2" x14ac:dyDescent="0.3">
      <c r="A96" s="34" t="s">
        <v>1102</v>
      </c>
      <c r="B96" s="8">
        <v>119.25524798777379</v>
      </c>
    </row>
    <row r="97" spans="1:11" x14ac:dyDescent="0.3">
      <c r="A97" s="34" t="s">
        <v>1103</v>
      </c>
      <c r="B97" s="13">
        <v>57502257.059558749</v>
      </c>
    </row>
    <row r="98" spans="1:11" x14ac:dyDescent="0.3">
      <c r="A98" s="34" t="s">
        <v>1104</v>
      </c>
      <c r="B98" s="8">
        <v>120.44780046765152</v>
      </c>
    </row>
    <row r="99" spans="1:11" x14ac:dyDescent="0.3">
      <c r="A99" s="34" t="s">
        <v>1105</v>
      </c>
      <c r="B99" s="11">
        <v>5421997.1955808867</v>
      </c>
    </row>
    <row r="100" spans="1:11" x14ac:dyDescent="0.3">
      <c r="A100" s="34" t="s">
        <v>1106</v>
      </c>
      <c r="B100" s="8">
        <v>208.82073235072531</v>
      </c>
    </row>
    <row r="101" spans="1:11" x14ac:dyDescent="0.3">
      <c r="A101" s="34" t="s">
        <v>1107</v>
      </c>
      <c r="B101" s="11">
        <v>7454032.938568173</v>
      </c>
    </row>
    <row r="102" spans="1:11" x14ac:dyDescent="0.3">
      <c r="A102" s="63" t="s">
        <v>1108</v>
      </c>
    </row>
    <row r="103" spans="1:11" ht="19.95" customHeight="1" x14ac:dyDescent="0.3">
      <c r="A103" s="15" t="s">
        <v>1109</v>
      </c>
      <c r="B103" s="16" t="s">
        <v>209</v>
      </c>
      <c r="C103" s="16" t="s">
        <v>357</v>
      </c>
      <c r="D103" s="16" t="s">
        <v>358</v>
      </c>
      <c r="E103" s="16" t="s">
        <v>359</v>
      </c>
      <c r="F103" s="16" t="s">
        <v>212</v>
      </c>
      <c r="G103" s="16" t="s">
        <v>219</v>
      </c>
      <c r="H103" s="16" t="s">
        <v>997</v>
      </c>
      <c r="I103" s="16" t="s">
        <v>998</v>
      </c>
      <c r="J103" s="16" t="s">
        <v>999</v>
      </c>
      <c r="K103" s="16" t="s">
        <v>222</v>
      </c>
    </row>
    <row r="104" spans="1:11" x14ac:dyDescent="0.3">
      <c r="A104" s="52" t="s">
        <v>1110</v>
      </c>
      <c r="B104" s="11">
        <v>73906.951623625457</v>
      </c>
      <c r="C104" s="11">
        <v>368200.97521216737</v>
      </c>
      <c r="D104" s="11">
        <v>431125.54316303774</v>
      </c>
      <c r="E104" s="11">
        <v>504377.99481712247</v>
      </c>
      <c r="F104" s="11">
        <v>591200.80065427476</v>
      </c>
      <c r="G104" s="11">
        <v>662062.53582934255</v>
      </c>
      <c r="H104" s="11">
        <v>707946.15913456306</v>
      </c>
      <c r="I104" s="11">
        <v>734007.97804583493</v>
      </c>
      <c r="J104" s="11">
        <v>736696.04414815432</v>
      </c>
      <c r="K104" s="11">
        <v>714352.14289483149</v>
      </c>
    </row>
    <row r="105" spans="1:11" x14ac:dyDescent="0.3">
      <c r="A105" s="52" t="s">
        <v>1111</v>
      </c>
      <c r="B105" s="64">
        <v>0.96592144249624123</v>
      </c>
      <c r="C105" s="64">
        <v>0.86924020112600175</v>
      </c>
      <c r="D105" s="64">
        <v>0.78201001539466386</v>
      </c>
      <c r="E105" s="64">
        <v>0.70373688082491292</v>
      </c>
      <c r="F105" s="64">
        <v>0.63329827966875574</v>
      </c>
      <c r="G105" s="64">
        <v>0.569910035923198</v>
      </c>
      <c r="H105" s="64">
        <v>0.5127182974148593</v>
      </c>
      <c r="I105" s="64">
        <v>0.46139917425801197</v>
      </c>
      <c r="J105" s="64">
        <v>0.41521669712075598</v>
      </c>
      <c r="K105" s="64">
        <v>0.37365672759410196</v>
      </c>
    </row>
    <row r="106" spans="1:11" x14ac:dyDescent="0.3">
      <c r="A106" s="52" t="s">
        <v>1112</v>
      </c>
      <c r="B106" s="11">
        <v>71388.309322792222</v>
      </c>
      <c r="C106" s="11">
        <v>320055.08974821435</v>
      </c>
      <c r="D106" s="11">
        <v>337144.49264595995</v>
      </c>
      <c r="E106" s="11">
        <v>354949.39682932588</v>
      </c>
      <c r="F106" s="11">
        <v>374406.44999314321</v>
      </c>
      <c r="G106" s="11">
        <v>377316.08357790415</v>
      </c>
      <c r="H106" s="11">
        <v>362976.94937286223</v>
      </c>
      <c r="I106" s="11">
        <v>338670.6749691412</v>
      </c>
      <c r="J106" s="11">
        <v>305888.49823312327</v>
      </c>
      <c r="K106" s="11">
        <v>266922.48406391707</v>
      </c>
    </row>
    <row r="107" spans="1:11" x14ac:dyDescent="0.3">
      <c r="A107" s="52" t="s">
        <v>1113</v>
      </c>
      <c r="B107" s="64">
        <v>0.32876712328767121</v>
      </c>
      <c r="C107" s="64">
        <v>1.3287671232876712</v>
      </c>
      <c r="D107" s="64">
        <v>2.3315068493150686</v>
      </c>
      <c r="E107" s="64">
        <v>3.3315068493150686</v>
      </c>
      <c r="F107" s="64">
        <v>4.3315068493150681</v>
      </c>
      <c r="G107" s="64">
        <v>5.3315068493150681</v>
      </c>
      <c r="H107" s="64">
        <v>6.3342465753424655</v>
      </c>
      <c r="I107" s="64">
        <v>7.3342465753424655</v>
      </c>
      <c r="J107" s="64">
        <v>8.3342465753424655</v>
      </c>
      <c r="K107" s="64">
        <v>9.3342465753424655</v>
      </c>
    </row>
    <row r="108" spans="1:11" x14ac:dyDescent="0.3">
      <c r="A108" s="52" t="s">
        <v>1114</v>
      </c>
      <c r="B108" s="13">
        <v>120</v>
      </c>
      <c r="C108" s="13">
        <v>485</v>
      </c>
      <c r="D108" s="13">
        <v>851</v>
      </c>
      <c r="E108" s="13">
        <v>1216</v>
      </c>
      <c r="F108" s="13">
        <v>1581</v>
      </c>
      <c r="G108" s="13">
        <v>1946</v>
      </c>
      <c r="H108" s="13">
        <v>2312</v>
      </c>
      <c r="I108" s="13">
        <v>2677</v>
      </c>
      <c r="J108" s="13">
        <v>3042</v>
      </c>
      <c r="K108" s="13">
        <v>3407</v>
      </c>
    </row>
    <row r="109" spans="1:11" x14ac:dyDescent="0.3">
      <c r="A109" s="52" t="s">
        <v>1115</v>
      </c>
      <c r="B109" s="45">
        <v>0.111225</v>
      </c>
    </row>
    <row r="110" spans="1:11" x14ac:dyDescent="0.3">
      <c r="A110" s="52" t="s">
        <v>1116</v>
      </c>
      <c r="B110" s="45">
        <v>2.5000000000000001E-2</v>
      </c>
    </row>
    <row r="111" spans="1:11" x14ac:dyDescent="0.3">
      <c r="A111" s="52" t="s">
        <v>1117</v>
      </c>
      <c r="B111" s="11">
        <v>3109718.4287563832</v>
      </c>
    </row>
    <row r="112" spans="1:11" x14ac:dyDescent="0.3">
      <c r="A112" s="52" t="s">
        <v>1118</v>
      </c>
      <c r="B112" s="11">
        <v>8221173.5277823266</v>
      </c>
    </row>
    <row r="113" spans="1:11" x14ac:dyDescent="0.3">
      <c r="A113" s="52" t="s">
        <v>1119</v>
      </c>
      <c r="B113" s="11">
        <v>3071896.7973744031</v>
      </c>
    </row>
    <row r="114" spans="1:11" x14ac:dyDescent="0.3">
      <c r="A114" s="52" t="s">
        <v>1120</v>
      </c>
      <c r="B114" s="11">
        <v>6181615.2261307864</v>
      </c>
    </row>
    <row r="115" spans="1:11" x14ac:dyDescent="0.3">
      <c r="A115" s="52" t="s">
        <v>1121</v>
      </c>
      <c r="B115" s="11">
        <v>1199776.7299135076</v>
      </c>
    </row>
    <row r="116" spans="1:11" x14ac:dyDescent="0.3">
      <c r="A116" s="52" t="s">
        <v>1122</v>
      </c>
      <c r="B116" s="11">
        <v>1435448.7299135076</v>
      </c>
    </row>
    <row r="117" spans="1:11" x14ac:dyDescent="0.3">
      <c r="A117" s="52" t="s">
        <v>1123</v>
      </c>
      <c r="B117" s="11">
        <v>7617063.9560442939</v>
      </c>
    </row>
    <row r="118" spans="1:11" x14ac:dyDescent="0.3">
      <c r="A118" s="52" t="s">
        <v>1124</v>
      </c>
      <c r="B118" s="13">
        <v>50061458</v>
      </c>
    </row>
    <row r="119" spans="1:11" x14ac:dyDescent="0.3">
      <c r="A119" s="52" t="s">
        <v>1125</v>
      </c>
      <c r="B119" s="13">
        <v>66893351.783343546</v>
      </c>
    </row>
    <row r="120" spans="1:11" x14ac:dyDescent="0.3">
      <c r="A120" s="52" t="s">
        <v>1126</v>
      </c>
      <c r="B120" s="13">
        <v>67562285.30117698</v>
      </c>
    </row>
    <row r="121" spans="1:11" x14ac:dyDescent="0.3">
      <c r="A121" s="52" t="s">
        <v>1127</v>
      </c>
      <c r="B121" s="8">
        <v>112.74136039195821</v>
      </c>
    </row>
    <row r="122" spans="1:11" x14ac:dyDescent="0.3">
      <c r="A122" s="52" t="s">
        <v>1128</v>
      </c>
      <c r="B122" s="8">
        <v>113.86877399587779</v>
      </c>
    </row>
    <row r="123" spans="1:11" x14ac:dyDescent="0.3">
      <c r="A123" s="52" t="s">
        <v>1129</v>
      </c>
      <c r="B123" s="8">
        <v>152.15425719411317</v>
      </c>
    </row>
    <row r="124" spans="1:11" ht="18" customHeight="1" x14ac:dyDescent="0.3">
      <c r="A124" s="23" t="s">
        <v>1130</v>
      </c>
    </row>
    <row r="125" spans="1:11" x14ac:dyDescent="0.3">
      <c r="A125" s="57" t="s">
        <v>1131</v>
      </c>
      <c r="B125" s="37" t="str">
        <f t="shared" ref="B125:K125" si="8">IF(ABS(B49-B104)&lt;=Tolerance_USD,"OK","BREAK")</f>
        <v>OK</v>
      </c>
      <c r="C125" s="37" t="str">
        <f t="shared" si="8"/>
        <v>OK</v>
      </c>
      <c r="D125" s="37" t="str">
        <f t="shared" si="8"/>
        <v>OK</v>
      </c>
      <c r="E125" s="37" t="str">
        <f t="shared" si="8"/>
        <v>OK</v>
      </c>
      <c r="F125" s="37" t="str">
        <f t="shared" si="8"/>
        <v>OK</v>
      </c>
      <c r="G125" s="37" t="str">
        <f t="shared" si="8"/>
        <v>OK</v>
      </c>
      <c r="H125" s="37" t="str">
        <f t="shared" si="8"/>
        <v>OK</v>
      </c>
      <c r="I125" s="37" t="str">
        <f t="shared" si="8"/>
        <v>OK</v>
      </c>
      <c r="J125" s="37" t="str">
        <f t="shared" si="8"/>
        <v>OK</v>
      </c>
      <c r="K125" s="37" t="str">
        <f t="shared" si="8"/>
        <v>OK</v>
      </c>
    </row>
    <row r="126" spans="1:11" x14ac:dyDescent="0.3">
      <c r="A126" s="57" t="s">
        <v>1132</v>
      </c>
      <c r="B126" s="37" t="str">
        <f t="shared" ref="B126:K126" si="9">IF(ABS(B48-B105)&lt;=0.000000001,"OK","BREAK")</f>
        <v>OK</v>
      </c>
      <c r="C126" s="37" t="str">
        <f t="shared" si="9"/>
        <v>OK</v>
      </c>
      <c r="D126" s="37" t="str">
        <f t="shared" si="9"/>
        <v>OK</v>
      </c>
      <c r="E126" s="37" t="str">
        <f t="shared" si="9"/>
        <v>OK</v>
      </c>
      <c r="F126" s="37" t="str">
        <f t="shared" si="9"/>
        <v>OK</v>
      </c>
      <c r="G126" s="37" t="str">
        <f t="shared" si="9"/>
        <v>OK</v>
      </c>
      <c r="H126" s="37" t="str">
        <f t="shared" si="9"/>
        <v>OK</v>
      </c>
      <c r="I126" s="37" t="str">
        <f t="shared" si="9"/>
        <v>OK</v>
      </c>
      <c r="J126" s="37" t="str">
        <f t="shared" si="9"/>
        <v>OK</v>
      </c>
      <c r="K126" s="37" t="str">
        <f t="shared" si="9"/>
        <v>OK</v>
      </c>
    </row>
    <row r="127" spans="1:11" x14ac:dyDescent="0.3">
      <c r="A127" s="57" t="s">
        <v>1133</v>
      </c>
      <c r="B127" s="37" t="str">
        <f t="shared" ref="B127:K127" si="10">IF(ABS(B46-B107)&lt;=0.000000001,"OK","BREAK")</f>
        <v>OK</v>
      </c>
      <c r="C127" s="37" t="str">
        <f t="shared" si="10"/>
        <v>OK</v>
      </c>
      <c r="D127" s="37" t="str">
        <f t="shared" si="10"/>
        <v>OK</v>
      </c>
      <c r="E127" s="37" t="str">
        <f t="shared" si="10"/>
        <v>OK</v>
      </c>
      <c r="F127" s="37" t="str">
        <f t="shared" si="10"/>
        <v>OK</v>
      </c>
      <c r="G127" s="37" t="str">
        <f t="shared" si="10"/>
        <v>OK</v>
      </c>
      <c r="H127" s="37" t="str">
        <f t="shared" si="10"/>
        <v>OK</v>
      </c>
      <c r="I127" s="37" t="str">
        <f t="shared" si="10"/>
        <v>OK</v>
      </c>
      <c r="J127" s="37" t="str">
        <f t="shared" si="10"/>
        <v>OK</v>
      </c>
      <c r="K127" s="37" t="str">
        <f t="shared" si="10"/>
        <v>OK</v>
      </c>
    </row>
    <row r="128" spans="1:11" x14ac:dyDescent="0.3">
      <c r="A128" s="57" t="s">
        <v>1134</v>
      </c>
      <c r="B128" s="37" t="str">
        <f t="shared" ref="B128:K128" si="11">IF(ABS(B50-B106)&lt;=Tolerance_USD,"OK","BREAK")</f>
        <v>OK</v>
      </c>
      <c r="C128" s="37" t="str">
        <f t="shared" si="11"/>
        <v>OK</v>
      </c>
      <c r="D128" s="37" t="str">
        <f t="shared" si="11"/>
        <v>OK</v>
      </c>
      <c r="E128" s="37" t="str">
        <f t="shared" si="11"/>
        <v>OK</v>
      </c>
      <c r="F128" s="37" t="str">
        <f t="shared" si="11"/>
        <v>OK</v>
      </c>
      <c r="G128" s="37" t="str">
        <f t="shared" si="11"/>
        <v>OK</v>
      </c>
      <c r="H128" s="37" t="str">
        <f t="shared" si="11"/>
        <v>OK</v>
      </c>
      <c r="I128" s="37" t="str">
        <f t="shared" si="11"/>
        <v>OK</v>
      </c>
      <c r="J128" s="37" t="str">
        <f t="shared" si="11"/>
        <v>OK</v>
      </c>
      <c r="K128" s="37" t="str">
        <f t="shared" si="11"/>
        <v>OK</v>
      </c>
    </row>
    <row r="129" spans="1:2" x14ac:dyDescent="0.3">
      <c r="A129" s="57" t="s">
        <v>1135</v>
      </c>
      <c r="B129" s="37" t="str">
        <f>IF(ABS(B55-B111)&lt;=Tolerance_USD,"OK","BREAK")</f>
        <v>OK</v>
      </c>
    </row>
    <row r="130" spans="1:2" x14ac:dyDescent="0.3">
      <c r="A130" s="57" t="s">
        <v>1136</v>
      </c>
      <c r="B130" s="37" t="str">
        <f>IF(ABS(B66-B112)&lt;=Tolerance_USD,"OK","BREAK")</f>
        <v>OK</v>
      </c>
    </row>
    <row r="131" spans="1:2" x14ac:dyDescent="0.3">
      <c r="A131" s="57" t="s">
        <v>1137</v>
      </c>
      <c r="B131" s="37" t="str">
        <f>IF(ABS(B68-B113)&lt;=Tolerance_USD,"OK","BREAK")</f>
        <v>OK</v>
      </c>
    </row>
    <row r="132" spans="1:2" x14ac:dyDescent="0.3">
      <c r="A132" s="57" t="s">
        <v>1138</v>
      </c>
      <c r="B132" s="37" t="str">
        <f>IF(ABS(B72-B114)&lt;=Tolerance_USD,"OK","BREAK")</f>
        <v>OK</v>
      </c>
    </row>
    <row r="133" spans="1:2" x14ac:dyDescent="0.3">
      <c r="A133" s="57" t="s">
        <v>1139</v>
      </c>
      <c r="B133" s="37" t="str">
        <f>IF(ABS(B75-B115)&lt;=Tolerance_USD,"OK","BREAK")</f>
        <v>OK</v>
      </c>
    </row>
    <row r="134" spans="1:2" x14ac:dyDescent="0.3">
      <c r="A134" s="57" t="s">
        <v>1140</v>
      </c>
      <c r="B134" s="37" t="str">
        <f>IF(ABS(B79-B116)&lt;=Tolerance_USD,"OK","BREAK")</f>
        <v>OK</v>
      </c>
    </row>
    <row r="135" spans="1:2" x14ac:dyDescent="0.3">
      <c r="A135" s="57" t="s">
        <v>1141</v>
      </c>
      <c r="B135" s="37" t="str">
        <f>IF(ABS(B80-B117)&lt;=Tolerance_USD,"OK","BREAK")</f>
        <v>OK</v>
      </c>
    </row>
    <row r="136" spans="1:2" x14ac:dyDescent="0.3">
      <c r="A136" s="57" t="s">
        <v>1142</v>
      </c>
      <c r="B136" s="37" t="str">
        <f>IF(ABS(B87-B120)&lt;=1,"OK","BREAK")</f>
        <v>OK</v>
      </c>
    </row>
    <row r="137" spans="1:2" x14ac:dyDescent="0.3">
      <c r="A137" s="57" t="s">
        <v>1143</v>
      </c>
      <c r="B137" s="37" t="str">
        <f>IF(ABS(B85-B119)&lt;=1,"OK","BREAK")</f>
        <v>OK</v>
      </c>
    </row>
    <row r="138" spans="1:2" x14ac:dyDescent="0.3">
      <c r="A138" s="57" t="s">
        <v>1144</v>
      </c>
      <c r="B138" s="37" t="str">
        <f>IF(ABS(B84-B118)&lt;=1,"OK","BREAK")</f>
        <v>OK</v>
      </c>
    </row>
    <row r="139" spans="1:2" x14ac:dyDescent="0.3">
      <c r="A139" s="57" t="s">
        <v>1145</v>
      </c>
      <c r="B139" s="37" t="str">
        <f>IF(ABS(B88-B121)&lt;=0.01,"OK","BREAK")</f>
        <v>OK</v>
      </c>
    </row>
    <row r="140" spans="1:2" x14ac:dyDescent="0.3">
      <c r="A140" s="57" t="s">
        <v>1146</v>
      </c>
      <c r="B140" s="37" t="str">
        <f>IF(ABS(B89-B122)&lt;=0.01,"OK","BREAK")</f>
        <v>OK</v>
      </c>
    </row>
    <row r="141" spans="1:2" x14ac:dyDescent="0.3">
      <c r="A141" s="57" t="s">
        <v>1147</v>
      </c>
      <c r="B141" s="37" t="str">
        <f>IF(ABS(B90-B123)&lt;=0.01,"OK","BREAK")</f>
        <v>OK</v>
      </c>
    </row>
  </sheetData>
  <sheetProtection sheet="1"/>
  <mergeCells count="3">
    <mergeCell ref="A1:L1"/>
    <mergeCell ref="A2:L2"/>
    <mergeCell ref="A3:K3"/>
  </mergeCells>
  <conditionalFormatting sqref="B11:B12">
    <cfRule type="expression" dxfId="37" priority="7">
      <formula>B11="OK"</formula>
    </cfRule>
    <cfRule type="expression" dxfId="36" priority="8">
      <formula>B11="BREAK"</formula>
    </cfRule>
  </conditionalFormatting>
  <conditionalFormatting sqref="B23">
    <cfRule type="expression" dxfId="35" priority="11">
      <formula>B23="OK"</formula>
    </cfRule>
    <cfRule type="expression" dxfId="34" priority="12">
      <formula>B23="BREAK"</formula>
    </cfRule>
  </conditionalFormatting>
  <conditionalFormatting sqref="B27:B28">
    <cfRule type="expression" dxfId="33" priority="13">
      <formula>B27="OK"</formula>
    </cfRule>
    <cfRule type="expression" dxfId="32" priority="14">
      <formula>B27="BREAK"</formula>
    </cfRule>
  </conditionalFormatting>
  <conditionalFormatting sqref="B42">
    <cfRule type="expression" dxfId="31" priority="17">
      <formula>B42="OK"</formula>
    </cfRule>
    <cfRule type="expression" dxfId="30" priority="18">
      <formula>B42="BREAK"</formula>
    </cfRule>
  </conditionalFormatting>
  <conditionalFormatting sqref="B56:B57">
    <cfRule type="expression" dxfId="29" priority="21">
      <formula>B56="OK"</formula>
    </cfRule>
    <cfRule type="expression" dxfId="28" priority="22">
      <formula>B56="BREAK"</formula>
    </cfRule>
  </conditionalFormatting>
  <conditionalFormatting sqref="B81:B82">
    <cfRule type="expression" dxfId="27" priority="25">
      <formula>B81="OK"</formula>
    </cfRule>
    <cfRule type="expression" dxfId="26" priority="26">
      <formula>B81="BREAK"</formula>
    </cfRule>
  </conditionalFormatting>
  <conditionalFormatting sqref="B92:B94">
    <cfRule type="expression" dxfId="25" priority="29">
      <formula>B92="OK"</formula>
    </cfRule>
    <cfRule type="expression" dxfId="24" priority="30">
      <formula>B92="BREAK"</formula>
    </cfRule>
  </conditionalFormatting>
  <conditionalFormatting sqref="B129:B141">
    <cfRule type="expression" dxfId="23" priority="43">
      <formula>B129="OK"</formula>
    </cfRule>
    <cfRule type="expression" dxfId="22" priority="44">
      <formula>B129="BREAK"</formula>
    </cfRule>
  </conditionalFormatting>
  <conditionalFormatting sqref="B8:D8">
    <cfRule type="expression" dxfId="21" priority="2">
      <formula>B8="BREAK"</formula>
    </cfRule>
    <cfRule type="expression" dxfId="20" priority="1">
      <formula>B8="OK"</formula>
    </cfRule>
  </conditionalFormatting>
  <conditionalFormatting sqref="B51:K51">
    <cfRule type="expression" dxfId="19" priority="19">
      <formula>B51="OK"</formula>
    </cfRule>
    <cfRule type="expression" dxfId="18" priority="20">
      <formula>B51="BREAK"</formula>
    </cfRule>
  </conditionalFormatting>
  <conditionalFormatting sqref="B125:K128">
    <cfRule type="expression" dxfId="17" priority="35">
      <formula>B125="OK"</formula>
    </cfRule>
    <cfRule type="expression" dxfId="16" priority="36">
      <formula>B125="BREAK"</formula>
    </cfRule>
  </conditionalFormatting>
  <conditionalFormatting sqref="E9:F9">
    <cfRule type="expression" dxfId="15" priority="3">
      <formula>E9="OK"</formula>
    </cfRule>
    <cfRule type="expression" dxfId="14" priority="4">
      <formula>E9="BREAK"</formula>
    </cfRule>
  </conditionalFormatting>
  <conditionalFormatting sqref="G10:K10">
    <cfRule type="expression" dxfId="13" priority="5">
      <formula>G10="OK"</formula>
    </cfRule>
    <cfRule type="expression" dxfId="12" priority="6">
      <formula>G10="BREAK"</formula>
    </cfRule>
  </conditionalFormatting>
  <pageMargins left="0.7" right="0.7" top="0.75" bottom="0.75" header="0.3" footer="0.3"/>
  <pageSetup fitToHeight="0" orientation="landscape"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45309"/>
    <pageSetUpPr fitToPage="1"/>
  </sheetPr>
  <dimension ref="A1:L114"/>
  <sheetViews>
    <sheetView workbookViewId="0">
      <pane xSplit="1" ySplit="4" topLeftCell="B5" activePane="bottomRight" state="frozen"/>
      <selection pane="topRight"/>
      <selection pane="bottomLeft"/>
      <selection pane="bottomRight"/>
    </sheetView>
  </sheetViews>
  <sheetFormatPr defaultRowHeight="14.4" x14ac:dyDescent="0.3"/>
  <cols>
    <col min="1" max="1" width="92" customWidth="1"/>
    <col min="2" max="2" width="26" customWidth="1"/>
    <col min="3" max="7" width="18" customWidth="1"/>
  </cols>
  <sheetData>
    <row r="1" spans="1:12" ht="22.05" customHeight="1" x14ac:dyDescent="0.4">
      <c r="A1" s="78" t="s">
        <v>1148</v>
      </c>
      <c r="B1" s="78"/>
      <c r="C1" s="78"/>
      <c r="D1" s="78"/>
      <c r="E1" s="78"/>
      <c r="F1" s="78"/>
      <c r="G1" s="78"/>
      <c r="H1" s="78"/>
      <c r="I1" s="78"/>
      <c r="J1" s="78"/>
      <c r="K1" s="78"/>
      <c r="L1" s="78"/>
    </row>
    <row r="2" spans="1:12" ht="16.05" customHeight="1" x14ac:dyDescent="0.3">
      <c r="A2" s="79" t="s">
        <v>1149</v>
      </c>
      <c r="B2" s="79"/>
      <c r="C2" s="79"/>
      <c r="D2" s="79"/>
      <c r="E2" s="79"/>
      <c r="F2" s="79"/>
      <c r="G2" s="79"/>
      <c r="H2" s="79"/>
      <c r="I2" s="79"/>
      <c r="J2" s="79"/>
      <c r="K2" s="79"/>
      <c r="L2" s="79"/>
    </row>
    <row r="3" spans="1:12" x14ac:dyDescent="0.3">
      <c r="A3" s="79" t="s">
        <v>1150</v>
      </c>
      <c r="B3" s="79"/>
      <c r="C3" s="79"/>
      <c r="D3" s="79"/>
      <c r="E3" s="79"/>
      <c r="F3" s="79"/>
      <c r="G3" s="79"/>
    </row>
    <row r="4" spans="1:12" ht="19.95" customHeight="1" x14ac:dyDescent="0.3">
      <c r="A4" s="2" t="s">
        <v>1151</v>
      </c>
      <c r="B4" s="3" t="s">
        <v>1152</v>
      </c>
      <c r="C4" s="3" t="s">
        <v>1153</v>
      </c>
      <c r="D4" s="3" t="s">
        <v>1154</v>
      </c>
      <c r="E4" s="3" t="s">
        <v>1155</v>
      </c>
      <c r="F4" s="3" t="s">
        <v>1156</v>
      </c>
      <c r="G4" s="3" t="s">
        <v>1157</v>
      </c>
    </row>
    <row r="5" spans="1:12" ht="18" customHeight="1" x14ac:dyDescent="0.3">
      <c r="A5" s="23" t="s">
        <v>1158</v>
      </c>
    </row>
    <row r="6" spans="1:12" x14ac:dyDescent="0.3">
      <c r="A6" s="34" t="s">
        <v>1159</v>
      </c>
      <c r="B6" s="50">
        <f>INDEX(B11:D11,1,MATCH(Control_Scenario,B10:D10,0))</f>
        <v>0.111225</v>
      </c>
    </row>
    <row r="7" spans="1:12" x14ac:dyDescent="0.3">
      <c r="A7" s="34" t="s">
        <v>1160</v>
      </c>
      <c r="B7" s="43">
        <f>INDEX(B12:D12,1,MATCH(Control_Scenario,B10:D10,0))</f>
        <v>2.5000000000000001E-2</v>
      </c>
    </row>
    <row r="8" spans="1:12" x14ac:dyDescent="0.3">
      <c r="A8" s="34" t="s">
        <v>1161</v>
      </c>
      <c r="B8" s="65">
        <f>INDEX(B16:D16,1,MATCH(Control_Scenario,B10:D10,0))</f>
        <v>112.74136039195821</v>
      </c>
    </row>
    <row r="9" spans="1:12" ht="18" customHeight="1" x14ac:dyDescent="0.3">
      <c r="A9" s="23" t="s">
        <v>1162</v>
      </c>
    </row>
    <row r="10" spans="1:12" x14ac:dyDescent="0.3">
      <c r="A10" s="4" t="s">
        <v>1163</v>
      </c>
      <c r="B10" s="66" t="s">
        <v>1164</v>
      </c>
      <c r="C10" s="66" t="s">
        <v>1165</v>
      </c>
      <c r="D10" s="66" t="s">
        <v>1166</v>
      </c>
    </row>
    <row r="11" spans="1:12" x14ac:dyDescent="0.3">
      <c r="A11" s="34" t="s">
        <v>1167</v>
      </c>
      <c r="B11" s="45">
        <v>0.1308</v>
      </c>
      <c r="C11" s="45">
        <v>0.111225</v>
      </c>
      <c r="D11" s="45">
        <v>9.3150000000000011E-2</v>
      </c>
    </row>
    <row r="12" spans="1:12" x14ac:dyDescent="0.3">
      <c r="A12" s="34" t="s">
        <v>1168</v>
      </c>
      <c r="B12" s="14">
        <v>0.02</v>
      </c>
      <c r="C12" s="14">
        <v>2.5000000000000001E-2</v>
      </c>
      <c r="D12" s="14">
        <v>3.0000000000000002E-2</v>
      </c>
    </row>
    <row r="13" spans="1:12" x14ac:dyDescent="0.3">
      <c r="A13" s="34" t="s">
        <v>1078</v>
      </c>
      <c r="B13" s="11">
        <v>2605834.3324966077</v>
      </c>
      <c r="C13" s="11">
        <v>6181615.2261307864</v>
      </c>
      <c r="D13" s="11">
        <v>15193780.102833711</v>
      </c>
    </row>
    <row r="14" spans="1:12" x14ac:dyDescent="0.3">
      <c r="A14" s="34" t="s">
        <v>1169</v>
      </c>
      <c r="B14" s="11">
        <v>1400750.2975497318</v>
      </c>
      <c r="C14" s="11">
        <v>1435448.7299135076</v>
      </c>
      <c r="D14" s="11">
        <v>1473856.286977601</v>
      </c>
    </row>
    <row r="15" spans="1:12" x14ac:dyDescent="0.3">
      <c r="A15" s="34" t="s">
        <v>1086</v>
      </c>
      <c r="B15" s="11">
        <v>4006584.6300463397</v>
      </c>
      <c r="C15" s="11">
        <v>7617063.9560442939</v>
      </c>
      <c r="D15" s="11">
        <v>16667636.389811311</v>
      </c>
    </row>
    <row r="16" spans="1:12" x14ac:dyDescent="0.3">
      <c r="A16" s="34" t="s">
        <v>1170</v>
      </c>
      <c r="B16" s="8">
        <v>61.469779056479048</v>
      </c>
      <c r="C16" s="8">
        <v>112.74136039195821</v>
      </c>
      <c r="D16" s="8">
        <v>238.06811086425762</v>
      </c>
    </row>
    <row r="17" spans="1:7" x14ac:dyDescent="0.3">
      <c r="A17" s="34" t="s">
        <v>1171</v>
      </c>
      <c r="B17" s="8">
        <v>62.084476847043838</v>
      </c>
      <c r="C17" s="8">
        <v>113.86877399587779</v>
      </c>
      <c r="D17" s="8">
        <v>240.44879197290018</v>
      </c>
    </row>
    <row r="18" spans="1:7" x14ac:dyDescent="0.3">
      <c r="A18" s="34" t="s">
        <v>1172</v>
      </c>
      <c r="B18" s="8">
        <v>80.033318846733138</v>
      </c>
      <c r="C18" s="8">
        <v>152.15425719411317</v>
      </c>
      <c r="D18" s="8">
        <v>332.94348697977017</v>
      </c>
    </row>
    <row r="19" spans="1:7" x14ac:dyDescent="0.3">
      <c r="A19" s="34" t="s">
        <v>1173</v>
      </c>
      <c r="B19" s="11">
        <v>1163142.6200426649</v>
      </c>
      <c r="C19" s="11">
        <v>1193853.5172095529</v>
      </c>
      <c r="D19" s="11">
        <v>1225231.8737488515</v>
      </c>
    </row>
    <row r="20" spans="1:7" x14ac:dyDescent="0.3">
      <c r="A20" s="34" t="s">
        <v>1174</v>
      </c>
      <c r="B20" s="11">
        <v>118939.36422897462</v>
      </c>
      <c r="C20" s="11">
        <v>157315.28583356575</v>
      </c>
      <c r="D20" s="11">
        <v>199503.77156720852</v>
      </c>
    </row>
    <row r="21" spans="1:7" x14ac:dyDescent="0.3">
      <c r="A21" s="57" t="s">
        <v>1175</v>
      </c>
      <c r="B21" s="37" t="str">
        <f>IF(ABS(C16-Sens_Headline_Canonical)&lt;=Tolerance_PerShare,"OK","BREAK")</f>
        <v>OK</v>
      </c>
    </row>
    <row r="22" spans="1:7" x14ac:dyDescent="0.3">
      <c r="A22" s="57" t="s">
        <v>1176</v>
      </c>
      <c r="B22" s="37" t="str">
        <f>IF(B16-C16&lt;0,"OK","BREAK")</f>
        <v>OK</v>
      </c>
    </row>
    <row r="23" spans="1:7" x14ac:dyDescent="0.3">
      <c r="A23" s="57" t="s">
        <v>1177</v>
      </c>
      <c r="B23" s="37" t="str">
        <f>IF(D16-C16&gt;0,"OK","BREAK")</f>
        <v>OK</v>
      </c>
    </row>
    <row r="24" spans="1:7" x14ac:dyDescent="0.3">
      <c r="A24" s="57" t="s">
        <v>1178</v>
      </c>
      <c r="B24" s="37" t="str">
        <f>IF(B13-C13&lt;0,"OK","BREAK")</f>
        <v>OK</v>
      </c>
    </row>
    <row r="25" spans="1:7" x14ac:dyDescent="0.3">
      <c r="A25" s="57" t="s">
        <v>1179</v>
      </c>
      <c r="B25" s="37" t="str">
        <f>IF(D13-C13&gt;0,"OK","BREAK")</f>
        <v>OK</v>
      </c>
    </row>
    <row r="26" spans="1:7" x14ac:dyDescent="0.3">
      <c r="A26" s="57" t="s">
        <v>1180</v>
      </c>
      <c r="B26" s="37" t="str">
        <f>IF(ABS(B15-(B13+B14))&lt;=Tolerance_USD,"OK","BREAK")</f>
        <v>OK</v>
      </c>
      <c r="C26" s="37" t="str">
        <f>IF(ABS(C15-(C13+C14))&lt;=Tolerance_USD,"OK","BREAK")</f>
        <v>OK</v>
      </c>
      <c r="D26" s="37" t="str">
        <f>IF(ABS(D15-(D13+D14))&lt;=Tolerance_USD,"OK","BREAK")</f>
        <v>OK</v>
      </c>
    </row>
    <row r="27" spans="1:7" ht="18" customHeight="1" x14ac:dyDescent="0.3">
      <c r="A27" s="23" t="s">
        <v>1181</v>
      </c>
    </row>
    <row r="28" spans="1:7" x14ac:dyDescent="0.3">
      <c r="A28" s="4" t="s">
        <v>1182</v>
      </c>
      <c r="B28" s="66" t="s">
        <v>1183</v>
      </c>
      <c r="C28" s="18">
        <v>0.01</v>
      </c>
      <c r="D28" s="18">
        <v>1.4999999999999999E-2</v>
      </c>
      <c r="E28" s="18">
        <v>0.02</v>
      </c>
      <c r="F28" s="18">
        <v>2.5000000000000001E-2</v>
      </c>
      <c r="G28" s="18">
        <v>0.03</v>
      </c>
    </row>
    <row r="29" spans="1:7" x14ac:dyDescent="0.3">
      <c r="A29" s="34" t="s">
        <v>1184</v>
      </c>
      <c r="B29" s="45">
        <v>9.1225000000000001E-2</v>
      </c>
      <c r="C29" s="62">
        <f>IF(B29&lt;=C$28,"n/a",127.042643642471)</f>
        <v>127.04264364247101</v>
      </c>
      <c r="D29" s="62">
        <f>IF(B29&lt;=D$28,"n/a",131.351771706957)</f>
        <v>131.35177170695701</v>
      </c>
      <c r="E29" s="62">
        <f>IF(B29&lt;=E$28,"n/a",136.270056621534)</f>
        <v>136.270056621534</v>
      </c>
      <c r="F29" s="62">
        <f>IF(B29&lt;=F$28,"n/a",141.935472757682)</f>
        <v>141.93547275768199</v>
      </c>
      <c r="G29" s="62">
        <f>IF(B29&lt;=G$28,"n/a",148.531065739307)</f>
        <v>148.531065739307</v>
      </c>
    </row>
    <row r="30" spans="1:7" x14ac:dyDescent="0.3">
      <c r="A30" s="34" t="s">
        <v>1185</v>
      </c>
      <c r="B30" s="45">
        <v>9.6225000000000005E-2</v>
      </c>
      <c r="C30" s="62">
        <f>IF(B30&lt;=C$28,"n/a",120.475768979059)</f>
        <v>120.475768979059</v>
      </c>
      <c r="D30" s="62">
        <f>IF(B30&lt;=D$28,"n/a",124.161752411614)</f>
        <v>124.161752411614</v>
      </c>
      <c r="E30" s="62">
        <f>IF(B30&lt;=E$28,"n/a",128.33502201874)</f>
        <v>128.33502201874001</v>
      </c>
      <c r="F30" s="62">
        <f>IF(B30&lt;=F$28,"n/a",133.098200371422)</f>
        <v>133.098200371422</v>
      </c>
      <c r="G30" s="62">
        <f>IF(B30&lt;=G$28,"n/a",138.584902134566)</f>
        <v>138.58490213456599</v>
      </c>
    </row>
    <row r="31" spans="1:7" x14ac:dyDescent="0.3">
      <c r="A31" s="34" t="s">
        <v>1186</v>
      </c>
      <c r="B31" s="45">
        <v>0.10122500000000001</v>
      </c>
      <c r="C31" s="62">
        <f>IF(B31&lt;=C$28,"n/a",114.632716974861)</f>
        <v>114.632716974861</v>
      </c>
      <c r="D31" s="62">
        <f>IF(B31&lt;=D$28,"n/a",117.808658297898)</f>
        <v>117.80865829789801</v>
      </c>
      <c r="E31" s="62">
        <f>IF(B31&lt;=E$28,"n/a",121.378950806621)</f>
        <v>121.37895080662101</v>
      </c>
      <c r="F31" s="62">
        <f>IF(B31&lt;=F$28,"n/a",125.421197226976)</f>
        <v>125.42119722697601</v>
      </c>
      <c r="G31" s="62">
        <f>IF(B31&lt;=G$28,"n/a",130.034791152147)</f>
        <v>130.03479115214699</v>
      </c>
    </row>
    <row r="32" spans="1:7" x14ac:dyDescent="0.3">
      <c r="A32" s="34" t="s">
        <v>1187</v>
      </c>
      <c r="B32" s="45">
        <v>0.10622500000000001</v>
      </c>
      <c r="C32" s="62">
        <f>IF(B32&lt;=C$28,"n/a",109.400730926203)</f>
        <v>109.400730926203</v>
      </c>
      <c r="D32" s="62">
        <f>IF(B32&lt;=D$28,"n/a",112.154988223153)</f>
        <v>112.154988223153</v>
      </c>
      <c r="E32" s="62">
        <f>IF(B32&lt;=E$28,"n/a",115.231693567026)</f>
        <v>115.231693567026</v>
      </c>
      <c r="F32" s="62">
        <f>IF(B32&lt;=F$28,"n/a",118.690394150235)</f>
        <v>118.69039415023499</v>
      </c>
      <c r="G32" s="62">
        <f>IF(B32&lt;=G$28,"n/a",122.606261223552)</f>
        <v>122.606261223552</v>
      </c>
    </row>
    <row r="33" spans="1:7" x14ac:dyDescent="0.3">
      <c r="A33" s="34" t="s">
        <v>1188</v>
      </c>
      <c r="B33" s="45">
        <v>0.111225</v>
      </c>
      <c r="C33" s="62">
        <f>IF(B33&lt;=C$28,"n/a",104.689322542326)</f>
        <v>104.689322542326</v>
      </c>
      <c r="D33" s="62">
        <f>IF(B33&lt;=D$28,"n/a",107.09180855363)</f>
        <v>107.09180855363</v>
      </c>
      <c r="E33" s="62">
        <f>IF(B33&lt;=E$28,"n/a",109.760390827327)</f>
        <v>109.760390827327</v>
      </c>
      <c r="F33" s="62">
        <f>IF(B33&lt;=F$28,"n/a",112.741360391958)</f>
        <v>112.741360391958</v>
      </c>
      <c r="G33" s="62">
        <f>IF(B33&lt;=G$28,"n/a",116.092406497925)</f>
        <v>116.092406497925</v>
      </c>
    </row>
    <row r="34" spans="1:7" x14ac:dyDescent="0.3">
      <c r="A34" s="34" t="s">
        <v>1189</v>
      </c>
      <c r="B34" s="45">
        <v>0.11622499999999999</v>
      </c>
      <c r="C34" s="62">
        <f>IF(B34&lt;=C$28,"n/a",100.425031813957)</f>
        <v>100.42503181395701</v>
      </c>
      <c r="D34" s="62">
        <f>IF(B34&lt;=D$28,"n/a",102.531698514269)</f>
        <v>102.531698514269</v>
      </c>
      <c r="E34" s="62">
        <f>IF(B34&lt;=E$28,"n/a",104.859785717401)</f>
        <v>104.859785717401</v>
      </c>
      <c r="F34" s="62">
        <f>IF(B34&lt;=F$28,"n/a",107.445701288985)</f>
        <v>107.44570128898501</v>
      </c>
      <c r="G34" s="62">
        <f>IF(B34&lt;=G$28,"n/a",110.334297946061)</f>
        <v>110.334297946061</v>
      </c>
    </row>
    <row r="35" spans="1:7" x14ac:dyDescent="0.3">
      <c r="A35" s="34" t="s">
        <v>1190</v>
      </c>
      <c r="B35" s="45">
        <v>0.121225</v>
      </c>
      <c r="C35" s="62">
        <f>IF(B35&lt;=C$28,"n/a",96.5476002196466)</f>
        <v>96.547600219646597</v>
      </c>
      <c r="D35" s="62">
        <f>IF(B35&lt;=D$28,"n/a",98.4036878562561)</f>
        <v>98.403687856256099</v>
      </c>
      <c r="E35" s="62">
        <f>IF(B35&lt;=E$28,"n/a",100.445407603572)</f>
        <v>100.44540760357199</v>
      </c>
      <c r="F35" s="62">
        <f>IF(B35&lt;=F$28,"n/a",102.701696657339)</f>
        <v>102.701696657339</v>
      </c>
      <c r="G35" s="62">
        <f>IF(B35&lt;=G$28,"n/a",105.207836350491)</f>
        <v>105.20783635049099</v>
      </c>
    </row>
    <row r="36" spans="1:7" x14ac:dyDescent="0.3">
      <c r="A36" s="34" t="s">
        <v>1191</v>
      </c>
      <c r="B36" s="45">
        <v>0.126225</v>
      </c>
      <c r="C36" s="62">
        <f>IF(B36&lt;=C$28,"n/a",93.0071316606067)</f>
        <v>93.007131660606703</v>
      </c>
      <c r="D36" s="62">
        <f>IF(B36&lt;=D$28,"n/a",94.6495599083267)</f>
        <v>94.649559908326694</v>
      </c>
      <c r="E36" s="62">
        <f>IF(B36&lt;=E$28,"n/a",96.4486807469971)</f>
        <v>96.448680746997098</v>
      </c>
      <c r="F36" s="62">
        <f>IF(B36&lt;=F$28,"n/a",98.4277136269936)</f>
        <v>98.427713626993594</v>
      </c>
      <c r="G36" s="62">
        <f>IF(B36&lt;=G$28,"n/a",100.614704073074)</f>
        <v>100.61470407307399</v>
      </c>
    </row>
    <row r="37" spans="1:7" x14ac:dyDescent="0.3">
      <c r="A37" s="34" t="s">
        <v>1192</v>
      </c>
      <c r="B37" s="45">
        <v>0.13122500000000001</v>
      </c>
      <c r="C37" s="62">
        <f>IF(B37&lt;=C$28,"n/a",89.7619559507034)</f>
        <v>89.761955950703396</v>
      </c>
      <c r="D37" s="62">
        <f>IF(B37&lt;=D$28,"n/a",91.2211088432292)</f>
        <v>91.221108843229203</v>
      </c>
      <c r="E37" s="62">
        <f>IF(B37&lt;=E$28,"n/a",92.8133522279581)</f>
        <v>92.813352227958106</v>
      </c>
      <c r="F37" s="62">
        <f>IF(B37&lt;=F$28,"n/a",94.5574797728878)</f>
        <v>94.557479772887802</v>
      </c>
      <c r="G37" s="62">
        <f>IF(B37&lt;=G$28,"n/a",96.4759983923479)</f>
        <v>96.475998392347904</v>
      </c>
    </row>
    <row r="38" spans="1:7" x14ac:dyDescent="0.3">
      <c r="A38" s="57" t="s">
        <v>1193</v>
      </c>
      <c r="B38" s="37" t="str">
        <f>IF(ABS(B29-(Sens_WACC_Headline-0.02))&lt;=0.000000001,"OK","BREAK")</f>
        <v>OK</v>
      </c>
    </row>
    <row r="39" spans="1:7" x14ac:dyDescent="0.3">
      <c r="A39" s="57" t="s">
        <v>1194</v>
      </c>
      <c r="B39" s="37" t="str">
        <f>IF(ABS(B37-(Sens_WACC_Headline+0.02))&lt;=0.000000001,"OK","BREAK")</f>
        <v>OK</v>
      </c>
    </row>
    <row r="40" spans="1:7" x14ac:dyDescent="0.3">
      <c r="A40" s="57" t="s">
        <v>1195</v>
      </c>
      <c r="B40" s="37" t="str">
        <f>IF(ABS(B33-Sens_WACC_Headline)&lt;=0.000000001,"OK","BREAK")</f>
        <v>OK</v>
      </c>
    </row>
    <row r="41" spans="1:7" x14ac:dyDescent="0.3">
      <c r="A41" s="57" t="s">
        <v>1196</v>
      </c>
      <c r="B41" s="37" t="str">
        <f>IF(ABS(C28-0.01)&lt;=0.000000000001,"OK","BREAK")</f>
        <v>OK</v>
      </c>
    </row>
    <row r="42" spans="1:7" x14ac:dyDescent="0.3">
      <c r="A42" s="57" t="s">
        <v>1197</v>
      </c>
      <c r="B42" s="37" t="str">
        <f>IF(ABS(G28-0.03)&lt;=0.000000000001,"OK","BREAK")</f>
        <v>OK</v>
      </c>
    </row>
    <row r="43" spans="1:7" x14ac:dyDescent="0.3">
      <c r="A43" s="57" t="s">
        <v>1198</v>
      </c>
      <c r="B43" s="37" t="str">
        <f>IF(ABS(F28-Sens_G_Headline)&lt;=0.000000000001,"OK","BREAK")</f>
        <v>OK</v>
      </c>
    </row>
    <row r="44" spans="1:7" x14ac:dyDescent="0.3">
      <c r="A44" s="57" t="s">
        <v>1199</v>
      </c>
      <c r="B44" s="37" t="str">
        <f>IF(ABS(Sens_Center-Sens_Headline_Canonical)&lt;=Tolerance_PerShare,"OK","BREAK")</f>
        <v>OK</v>
      </c>
    </row>
    <row r="45" spans="1:7" x14ac:dyDescent="0.3">
      <c r="A45" s="57" t="s">
        <v>1200</v>
      </c>
      <c r="B45" s="37" t="str">
        <f>IF(C29-C37&gt;0,"OK","BREAK")</f>
        <v>OK</v>
      </c>
    </row>
    <row r="46" spans="1:7" x14ac:dyDescent="0.3">
      <c r="A46" s="57" t="s">
        <v>1201</v>
      </c>
      <c r="B46" s="37" t="str">
        <f>IF(G29-G37&gt;0,"OK","BREAK")</f>
        <v>OK</v>
      </c>
    </row>
    <row r="47" spans="1:7" x14ac:dyDescent="0.3">
      <c r="A47" s="57" t="s">
        <v>1202</v>
      </c>
      <c r="B47" s="37" t="str">
        <f>IF(G29-C29&gt;0,"OK","BREAK")</f>
        <v>OK</v>
      </c>
    </row>
    <row r="48" spans="1:7" x14ac:dyDescent="0.3">
      <c r="A48" s="57" t="s">
        <v>1203</v>
      </c>
      <c r="B48" s="37" t="str">
        <f>IF(G37-C37&gt;0,"OK","BREAK")</f>
        <v>OK</v>
      </c>
    </row>
    <row r="49" spans="1:4" ht="18" customHeight="1" x14ac:dyDescent="0.3">
      <c r="A49" s="23" t="s">
        <v>1204</v>
      </c>
    </row>
    <row r="50" spans="1:4" x14ac:dyDescent="0.3">
      <c r="A50" s="4" t="s">
        <v>1205</v>
      </c>
      <c r="B50" s="66" t="s">
        <v>1206</v>
      </c>
      <c r="C50" s="66" t="s">
        <v>1165</v>
      </c>
      <c r="D50" s="66" t="s">
        <v>1207</v>
      </c>
    </row>
    <row r="51" spans="1:4" x14ac:dyDescent="0.3">
      <c r="A51" s="34" t="s">
        <v>1208</v>
      </c>
      <c r="B51" s="8">
        <v>109.59486292785223</v>
      </c>
      <c r="C51" s="8">
        <v>112.74136039195821</v>
      </c>
      <c r="D51" s="8">
        <v>115.97441494428162</v>
      </c>
    </row>
    <row r="52" spans="1:4" x14ac:dyDescent="0.3">
      <c r="A52" s="34" t="s">
        <v>1209</v>
      </c>
      <c r="B52" s="8">
        <v>116.48853876032133</v>
      </c>
      <c r="C52" s="8">
        <v>112.74136039195821</v>
      </c>
      <c r="D52" s="8">
        <v>108.99418202359507</v>
      </c>
    </row>
    <row r="53" spans="1:4" x14ac:dyDescent="0.3">
      <c r="A53" s="34" t="s">
        <v>1210</v>
      </c>
      <c r="B53" s="8">
        <v>112.89026791098487</v>
      </c>
      <c r="C53" s="8">
        <v>112.74136039195821</v>
      </c>
      <c r="D53" s="8">
        <v>112.59618907985623</v>
      </c>
    </row>
    <row r="54" spans="1:4" x14ac:dyDescent="0.3">
      <c r="A54" s="34" t="s">
        <v>1211</v>
      </c>
      <c r="B54" s="8">
        <v>113.86877399587779</v>
      </c>
      <c r="C54" s="8">
        <v>112.74136039195821</v>
      </c>
      <c r="D54" s="8">
        <v>111.63605293713508</v>
      </c>
    </row>
    <row r="55" spans="1:4" x14ac:dyDescent="0.3">
      <c r="A55" s="52" t="s">
        <v>1212</v>
      </c>
      <c r="B55" s="62">
        <f>B51-C51</f>
        <v>-3.1464974641059769</v>
      </c>
      <c r="C55" s="67" t="s">
        <v>274</v>
      </c>
      <c r="D55" s="62">
        <f>D51-C51</f>
        <v>3.2330545523234093</v>
      </c>
    </row>
    <row r="56" spans="1:4" x14ac:dyDescent="0.3">
      <c r="A56" s="52" t="s">
        <v>1213</v>
      </c>
      <c r="B56" s="62">
        <f>B52-C52</f>
        <v>3.747178368363123</v>
      </c>
      <c r="C56" s="67" t="s">
        <v>274</v>
      </c>
      <c r="D56" s="62">
        <f>D52-C52</f>
        <v>-3.7471783683631372</v>
      </c>
    </row>
    <row r="57" spans="1:4" x14ac:dyDescent="0.3">
      <c r="A57" s="52" t="s">
        <v>1214</v>
      </c>
      <c r="B57" s="62">
        <f>B53-C53</f>
        <v>0.14890751902666466</v>
      </c>
      <c r="C57" s="67" t="s">
        <v>274</v>
      </c>
      <c r="D57" s="62">
        <f>D53-C53</f>
        <v>-0.14517131210197931</v>
      </c>
    </row>
    <row r="58" spans="1:4" x14ac:dyDescent="0.3">
      <c r="A58" s="52" t="s">
        <v>1215</v>
      </c>
      <c r="B58" s="62">
        <f>B54-C54</f>
        <v>1.1274136039195781</v>
      </c>
      <c r="C58" s="67" t="s">
        <v>274</v>
      </c>
      <c r="D58" s="62">
        <f>D54-C54</f>
        <v>-1.1053074548231336</v>
      </c>
    </row>
    <row r="59" spans="1:4" x14ac:dyDescent="0.3">
      <c r="A59" s="57" t="s">
        <v>1216</v>
      </c>
      <c r="B59" s="37" t="str">
        <f>IF(ABS(C51-Sens_Headline_Canonical)&lt;=Tolerance_PerShare,"OK","BREAK")</f>
        <v>OK</v>
      </c>
    </row>
    <row r="60" spans="1:4" x14ac:dyDescent="0.3">
      <c r="A60" s="57" t="s">
        <v>1217</v>
      </c>
      <c r="B60" s="37" t="str">
        <f>IF(ABS(C52-Sens_Headline_Canonical)&lt;=Tolerance_PerShare,"OK","BREAK")</f>
        <v>OK</v>
      </c>
    </row>
    <row r="61" spans="1:4" x14ac:dyDescent="0.3">
      <c r="A61" s="57" t="s">
        <v>1218</v>
      </c>
      <c r="B61" s="37" t="str">
        <f>IF(ABS(C53-Sens_Headline_Canonical)&lt;=Tolerance_PerShare,"OK","BREAK")</f>
        <v>OK</v>
      </c>
    </row>
    <row r="62" spans="1:4" x14ac:dyDescent="0.3">
      <c r="A62" s="57" t="s">
        <v>1219</v>
      </c>
      <c r="B62" s="37" t="str">
        <f>IF(ABS(C54-Sens_Headline_Canonical)&lt;=Tolerance_PerShare,"OK","BREAK")</f>
        <v>OK</v>
      </c>
    </row>
    <row r="63" spans="1:4" x14ac:dyDescent="0.3">
      <c r="A63" s="57" t="s">
        <v>1220</v>
      </c>
      <c r="B63" s="37" t="str">
        <f>IF(D51-C51&gt;0,"OK","BREAK")</f>
        <v>OK</v>
      </c>
    </row>
    <row r="64" spans="1:4" x14ac:dyDescent="0.3">
      <c r="A64" s="57" t="s">
        <v>1221</v>
      </c>
      <c r="B64" s="37" t="str">
        <f>IF(C51-B51&gt;0,"OK","BREAK")</f>
        <v>OK</v>
      </c>
    </row>
    <row r="65" spans="1:2" x14ac:dyDescent="0.3">
      <c r="A65" s="57" t="s">
        <v>1222</v>
      </c>
      <c r="B65" s="37" t="str">
        <f>IF(C52-D52&gt;0,"OK","BREAK")</f>
        <v>OK</v>
      </c>
    </row>
    <row r="66" spans="1:2" x14ac:dyDescent="0.3">
      <c r="A66" s="57" t="s">
        <v>1223</v>
      </c>
      <c r="B66" s="37" t="str">
        <f>IF(B52-C52&gt;0,"OK","BREAK")</f>
        <v>OK</v>
      </c>
    </row>
    <row r="67" spans="1:2" x14ac:dyDescent="0.3">
      <c r="A67" s="57" t="s">
        <v>1224</v>
      </c>
      <c r="B67" s="37" t="str">
        <f>IF(C53-D53&gt;0,"OK","BREAK")</f>
        <v>OK</v>
      </c>
    </row>
    <row r="68" spans="1:2" x14ac:dyDescent="0.3">
      <c r="A68" s="57" t="s">
        <v>1225</v>
      </c>
      <c r="B68" s="37" t="str">
        <f>IF(B53-C53&gt;0,"OK","BREAK")</f>
        <v>OK</v>
      </c>
    </row>
    <row r="69" spans="1:2" x14ac:dyDescent="0.3">
      <c r="A69" s="57" t="s">
        <v>1226</v>
      </c>
      <c r="B69" s="37" t="str">
        <f>IF(C54-D54&gt;0,"OK","BREAK")</f>
        <v>OK</v>
      </c>
    </row>
    <row r="70" spans="1:2" x14ac:dyDescent="0.3">
      <c r="A70" s="57" t="s">
        <v>1227</v>
      </c>
      <c r="B70" s="37" t="str">
        <f>IF(B54-C54&gt;0,"OK","BREAK")</f>
        <v>OK</v>
      </c>
    </row>
    <row r="71" spans="1:2" ht="18" customHeight="1" x14ac:dyDescent="0.3">
      <c r="A71" s="23" t="s">
        <v>1228</v>
      </c>
    </row>
    <row r="72" spans="1:2" ht="24" customHeight="1" x14ac:dyDescent="0.3">
      <c r="A72" s="68" t="s">
        <v>1229</v>
      </c>
      <c r="B72" s="69" t="str">
        <f>IF(B73="OK",IF(B74="OK",IF(B75="OK",IF(B76="OK",IF(B77="OK",IF(B78="OK",IF(B79="OK",IF(B80="OK",IF(B81="OK",IF(B82="OK",IF(B83="OK",IF(B84="OK",IF(B85="OK",IF(B86="OK",IF(B87="OK",IF(B88="OK",IF(B89="OK",IF(B90="OK",IF(B91="OK",IF(B92="OK",IF(B93="OK",IF(B94="OK",IF(B95="OK",IF(B96="OK",IF(B97="OK",IF(B98="OK",IF(B99="OK",IF(B100="OK",IF(B101="OK",IF(B102="OK",IF(B103="OK",IF(B104="OK",IF(B105="OK",IF(B106="OK",IF(B107="OK",IF(B108="OK",IF(B109="OK",IF(B110="OK",IF(B111="OK",IF(B112="OK",IF(B113="OK",IF(B114="OK","ALL CHECKS GREEN","AUDIT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DETECTED"),"AUDIT BREAK DETECTED")</f>
        <v>ALL CHECKS GREEN</v>
      </c>
    </row>
    <row r="73" spans="1:2" x14ac:dyDescent="0.3">
      <c r="A73" s="34" t="s">
        <v>1230</v>
      </c>
      <c r="B73" s="37" t="str">
        <f>IF(Control_Scenario="base",IF(ABS(Cover_CanonicalPrice-DCF_PerShareCanonical)&lt;=Tolerance_PerShare,"OK","BREAK"),IF(Control_Scenario="bear",IF(ABS(Cover_CanonicalPrice-B16)&lt;=Tolerance_PerShare,"OK","BREAK"),IF(Control_Scenario="bull",IF(ABS(Cover_CanonicalPrice-D16)&lt;=Tolerance_PerShare,"OK","BREAK"),"BREAK")))</f>
        <v>OK</v>
      </c>
    </row>
    <row r="74" spans="1:2" x14ac:dyDescent="0.3">
      <c r="A74" s="34" t="s">
        <v>1231</v>
      </c>
      <c r="B74" s="37" t="str">
        <f>IF(ABS(Cover_EV-DCF_EV)&lt;=Tolerance_USD,"OK","BREAK")</f>
        <v>OK</v>
      </c>
    </row>
    <row r="75" spans="1:2" x14ac:dyDescent="0.3">
      <c r="A75" s="34" t="s">
        <v>1232</v>
      </c>
      <c r="B75" s="37" t="str">
        <f>IF(ABS(Cover_NetCash-DCF_NetCash)&lt;=Tolerance_USD,"OK","BREAK")</f>
        <v>OK</v>
      </c>
    </row>
    <row r="76" spans="1:2" x14ac:dyDescent="0.3">
      <c r="A76" s="34" t="s">
        <v>1233</v>
      </c>
      <c r="B76" s="37" t="str">
        <f>IF(Check_Hist_BS_FY25="OK","OK","BREAK")</f>
        <v>OK</v>
      </c>
    </row>
    <row r="77" spans="1:2" x14ac:dyDescent="0.3">
      <c r="A77" s="34" t="s">
        <v>1234</v>
      </c>
      <c r="B77" s="37" t="str">
        <f>IF(Check_Hist_CashRoll_FY25="OK","OK","BREAK")</f>
        <v>OK</v>
      </c>
    </row>
    <row r="78" spans="1:2" x14ac:dyDescent="0.3">
      <c r="A78" s="34" t="s">
        <v>1235</v>
      </c>
      <c r="B78" s="37" t="str">
        <f>IF(Check_Hist_EbitdaBridge_FY25="OK","OK","BREAK")</f>
        <v>OK</v>
      </c>
    </row>
    <row r="79" spans="1:2" x14ac:dyDescent="0.3">
      <c r="A79" s="34" t="s">
        <v>1236</v>
      </c>
      <c r="B79" s="37" t="str">
        <f>IF(ABS(Hist_EbitdaResid_FY25/Hist_Revenue_FY25)&lt;=Bound_C2_PCT,"OK","BREAK")</f>
        <v>OK</v>
      </c>
    </row>
    <row r="80" spans="1:2" x14ac:dyDescent="0.3">
      <c r="A80" s="34" t="s">
        <v>1237</v>
      </c>
      <c r="B80" s="37" t="str">
        <f>IF(Check_Rev_DR_Roll_FY26="OK","OK","BREAK")</f>
        <v>OK</v>
      </c>
    </row>
    <row r="81" spans="1:2" x14ac:dyDescent="0.3">
      <c r="A81" s="34" t="s">
        <v>1238</v>
      </c>
      <c r="B81" s="37" t="str">
        <f>IF(Check_Rev_Engine_Parity_FY26="OK","OK","BREAK")</f>
        <v>OK</v>
      </c>
    </row>
    <row r="82" spans="1:2" x14ac:dyDescent="0.3">
      <c r="A82" s="34" t="s">
        <v>1239</v>
      </c>
      <c r="B82" s="37" t="str">
        <f>IF(Check_Costs_GrossProfit_FY26="OK","OK","BREAK")</f>
        <v>OK</v>
      </c>
    </row>
    <row r="83" spans="1:2" x14ac:dyDescent="0.3">
      <c r="A83" s="34" t="s">
        <v>1240</v>
      </c>
      <c r="B83" s="37" t="str">
        <f>IF(Check_Costs_OpIncome_FY26="OK","OK","BREAK")</f>
        <v>OK</v>
      </c>
    </row>
    <row r="84" spans="1:2" x14ac:dyDescent="0.3">
      <c r="A84" s="34" t="s">
        <v>1241</v>
      </c>
      <c r="B84" s="37" t="str">
        <f>IF(Check_WC_Asset_Foot_FY26="OK","OK","BREAK")</f>
        <v>OK</v>
      </c>
    </row>
    <row r="85" spans="1:2" x14ac:dyDescent="0.3">
      <c r="A85" s="34" t="s">
        <v>1242</v>
      </c>
      <c r="B85" s="37" t="str">
        <f>IF(Check_WC_Liab_Foot_FY26="OK","OK","BREAK")</f>
        <v>OK</v>
      </c>
    </row>
    <row r="86" spans="1:2" x14ac:dyDescent="0.3">
      <c r="A86" s="34" t="s">
        <v>1243</v>
      </c>
      <c r="B86" s="37" t="str">
        <f>IF(Check_WC_PPE_Roll_FY26="OK","OK","BREAK")</f>
        <v>OK</v>
      </c>
    </row>
    <row r="87" spans="1:2" x14ac:dyDescent="0.3">
      <c r="A87" s="34" t="s">
        <v>1244</v>
      </c>
      <c r="B87" s="37" t="str">
        <f>IF(Check_WC_Intang_Roll_FY26="OK","OK","BREAK")</f>
        <v>OK</v>
      </c>
    </row>
    <row r="88" spans="1:2" x14ac:dyDescent="0.3">
      <c r="A88" s="34" t="s">
        <v>1245</v>
      </c>
      <c r="B88" s="37" t="str">
        <f>IF(Check_SBC_Target_Parity_FY26="OK","OK","BREAK")</f>
        <v>OK</v>
      </c>
    </row>
    <row r="89" spans="1:2" x14ac:dyDescent="0.3">
      <c r="A89" s="34" t="s">
        <v>1246</v>
      </c>
      <c r="B89" s="37" t="str">
        <f>IF(Check_Tax_Prov_Parity_FY26="OK","OK","BREAK")</f>
        <v>OK</v>
      </c>
    </row>
    <row r="90" spans="1:2" x14ac:dyDescent="0.3">
      <c r="A90" s="34" t="s">
        <v>1247</v>
      </c>
      <c r="B90" s="37" t="str">
        <f>IF(Check_IS_Pretax_FY26="OK","OK","BREAK")</f>
        <v>OK</v>
      </c>
    </row>
    <row r="91" spans="1:2" x14ac:dyDescent="0.3">
      <c r="A91" s="34" t="s">
        <v>1248</v>
      </c>
      <c r="B91" s="37" t="str">
        <f>IF(Check_IS_NetIncome_FY26="OK","OK","BREAK")</f>
        <v>OK</v>
      </c>
    </row>
    <row r="92" spans="1:2" x14ac:dyDescent="0.3">
      <c r="A92" s="34" t="s">
        <v>1249</v>
      </c>
      <c r="B92" s="37" t="str">
        <f>IF(Check_IS_IntParity_FY26="OK","OK","BREAK")</f>
        <v>OK</v>
      </c>
    </row>
    <row r="93" spans="1:2" x14ac:dyDescent="0.3">
      <c r="A93" s="34" t="s">
        <v>1250</v>
      </c>
      <c r="B93" s="37" t="str">
        <f>IF(Check_IS_Seam_FY26="OK","OK","BREAK")</f>
        <v>OK</v>
      </c>
    </row>
    <row r="94" spans="1:2" x14ac:dyDescent="0.3">
      <c r="A94" s="34" t="s">
        <v>1251</v>
      </c>
      <c r="B94" s="37" t="str">
        <f>IF(Check_BS_Balance_FY26="OK","OK","BREAK")</f>
        <v>OK</v>
      </c>
    </row>
    <row r="95" spans="1:2" x14ac:dyDescent="0.3">
      <c r="A95" s="34" t="s">
        <v>1252</v>
      </c>
      <c r="B95" s="37" t="str">
        <f>IF(Check_BS_CashTie_FY26="OK","OK","BREAK")</f>
        <v>OK</v>
      </c>
    </row>
    <row r="96" spans="1:2" x14ac:dyDescent="0.3">
      <c r="A96" s="34" t="s">
        <v>1253</v>
      </c>
      <c r="B96" s="37" t="str">
        <f>IF(Check_BS_ZeroPlug_FY26="OK","OK","BREAK")</f>
        <v>OK</v>
      </c>
    </row>
    <row r="97" spans="1:2" x14ac:dyDescent="0.3">
      <c r="A97" s="34" t="s">
        <v>1254</v>
      </c>
      <c r="B97" s="37" t="str">
        <f>IF(Check_CF_NetChange_FY26="OK","OK","BREAK")</f>
        <v>OK</v>
      </c>
    </row>
    <row r="98" spans="1:2" x14ac:dyDescent="0.3">
      <c r="A98" s="34" t="s">
        <v>1255</v>
      </c>
      <c r="B98" s="37" t="str">
        <f>IF(Check_CF_CashChain_FY26="OK","OK","BREAK")</f>
        <v>OK</v>
      </c>
    </row>
    <row r="99" spans="1:2" x14ac:dyDescent="0.3">
      <c r="A99" s="34" t="s">
        <v>1256</v>
      </c>
      <c r="B99" s="37" t="str">
        <f>IF(Check_CF_H2Modeled_FY26="OK","OK","BREAK")</f>
        <v>OK</v>
      </c>
    </row>
    <row r="100" spans="1:2" x14ac:dyDescent="0.3">
      <c r="A100" s="34" t="s">
        <v>1257</v>
      </c>
      <c r="B100" s="37" t="str">
        <f>IF(Check_DCF_Days_Sum="OK","OK","BREAK")</f>
        <v>OK</v>
      </c>
    </row>
    <row r="101" spans="1:2" x14ac:dyDescent="0.3">
      <c r="A101" s="34" t="s">
        <v>1258</v>
      </c>
      <c r="B101" s="37" t="str">
        <f>IF(Check_DCF_Wacc_Ke="OK","OK","BREAK")</f>
        <v>OK</v>
      </c>
    </row>
    <row r="102" spans="1:2" x14ac:dyDescent="0.3">
      <c r="A102" s="34" t="s">
        <v>1259</v>
      </c>
      <c r="B102" s="37" t="str">
        <f>IF(Check_DCF_Wacc_Gt_G="OK","OK","BREAK")</f>
        <v>OK</v>
      </c>
    </row>
    <row r="103" spans="1:2" x14ac:dyDescent="0.3">
      <c r="A103" s="34" t="s">
        <v>1260</v>
      </c>
      <c r="B103" s="37" t="str">
        <f>IF(Check_DCF_Seam_FCFF="OK","OK","BREAK")</f>
        <v>OK</v>
      </c>
    </row>
    <row r="104" spans="1:2" x14ac:dyDescent="0.3">
      <c r="A104" s="34" t="s">
        <v>1261</v>
      </c>
      <c r="B104" s="37" t="str">
        <f>IF(Check_DCF_PV_Foot="OK","OK","BREAK")</f>
        <v>OK</v>
      </c>
    </row>
    <row r="105" spans="1:2" x14ac:dyDescent="0.3">
      <c r="A105" s="34" t="s">
        <v>1262</v>
      </c>
      <c r="B105" s="37" t="str">
        <f>IF(Check_DCF_Stage_Sum="OK","OK","BREAK")</f>
        <v>OK</v>
      </c>
    </row>
    <row r="106" spans="1:2" x14ac:dyDescent="0.3">
      <c r="A106" s="34" t="s">
        <v>1263</v>
      </c>
      <c r="B106" s="37" t="str">
        <f>IF(Check_DCF_EV_Bridge="OK","OK","BREAK")</f>
        <v>OK</v>
      </c>
    </row>
    <row r="107" spans="1:2" x14ac:dyDescent="0.3">
      <c r="A107" s="34" t="s">
        <v>1264</v>
      </c>
      <c r="B107" s="37" t="str">
        <f>IF(Check_DCF_Spot_Gt_Canon="OK",IF(Check_DCF_Canon_Le_Finite="OK","OK","BREAK"),"BREAK")</f>
        <v>OK</v>
      </c>
    </row>
    <row r="108" spans="1:2" x14ac:dyDescent="0.3">
      <c r="A108" s="34" t="s">
        <v>1265</v>
      </c>
      <c r="B108" s="37" t="str">
        <f>IF(Check_DCF_Canonical_Tie="OK","OK","BREAK")</f>
        <v>OK</v>
      </c>
    </row>
    <row r="109" spans="1:2" x14ac:dyDescent="0.3">
      <c r="A109" s="34" t="s">
        <v>1266</v>
      </c>
      <c r="B109" s="37" t="str">
        <f>IF(Check_Sens_Grid_Center="OK","OK","BREAK")</f>
        <v>OK</v>
      </c>
    </row>
    <row r="110" spans="1:2" x14ac:dyDescent="0.3">
      <c r="A110" s="34" t="s">
        <v>1267</v>
      </c>
      <c r="B110" s="37" t="str">
        <f>IF(Scen_Bear_Canon&lt;Scen_Base_Canon,IF(Scen_Bull_Canon&gt;Scen_Base_Canon,"OK","BREAK"),"BREAK")</f>
        <v>OK</v>
      </c>
    </row>
    <row r="111" spans="1:2" x14ac:dyDescent="0.3">
      <c r="A111" s="34" t="s">
        <v>1268</v>
      </c>
      <c r="B111" s="37" t="str">
        <f>IF(Check_Sens_Rev_Up="OK",IF(Check_Sens_Rev_Down="OK","OK","BREAK"),"BREAK")</f>
        <v>OK</v>
      </c>
    </row>
    <row r="112" spans="1:2" x14ac:dyDescent="0.3">
      <c r="A112" s="34" t="s">
        <v>1269</v>
      </c>
      <c r="B112" s="37" t="str">
        <f>IF(Check_Sens_Margin_Up="OK",IF(Check_Sens_Margin_Down="OK","OK","BREAK"),"BREAK")</f>
        <v>OK</v>
      </c>
    </row>
    <row r="113" spans="1:2" x14ac:dyDescent="0.3">
      <c r="A113" s="34" t="s">
        <v>1270</v>
      </c>
      <c r="B113" s="37" t="str">
        <f>IF(ABS(DCF_EV+DCF_NetCash-CHK_DCF_EquityEng)&lt;=Tolerance_USD,"OK","BREAK")</f>
        <v>OK</v>
      </c>
    </row>
    <row r="114" spans="1:2" x14ac:dyDescent="0.3">
      <c r="A114" s="34" t="s">
        <v>1271</v>
      </c>
      <c r="B114" s="37" t="str">
        <f>IF(ABS(DCF_PvExplicit-CHK_DCF_ExplicitEng)&lt;=Tolerance_USD,"OK","BREAK")</f>
        <v>OK</v>
      </c>
    </row>
  </sheetData>
  <sheetProtection sheet="1"/>
  <mergeCells count="3">
    <mergeCell ref="A1:L1"/>
    <mergeCell ref="A2:L2"/>
    <mergeCell ref="A3:G3"/>
  </mergeCells>
  <conditionalFormatting sqref="B21:B25">
    <cfRule type="expression" dxfId="11" priority="1">
      <formula>B21="OK"</formula>
    </cfRule>
    <cfRule type="expression" dxfId="10" priority="2">
      <formula>B21="BREAK"</formula>
    </cfRule>
  </conditionalFormatting>
  <conditionalFormatting sqref="B38:B48">
    <cfRule type="expression" dxfId="9" priority="13">
      <formula>B38="OK"</formula>
    </cfRule>
    <cfRule type="expression" dxfId="8" priority="14">
      <formula>B38="BREAK"</formula>
    </cfRule>
  </conditionalFormatting>
  <conditionalFormatting sqref="B59:B70">
    <cfRule type="expression" dxfId="7" priority="35">
      <formula>B59="OK"</formula>
    </cfRule>
    <cfRule type="expression" dxfId="6" priority="36">
      <formula>B59="BREAK"</formula>
    </cfRule>
  </conditionalFormatting>
  <conditionalFormatting sqref="B72">
    <cfRule type="expression" dxfId="5" priority="144">
      <formula>B72="AUDIT BREAK DETECTED"</formula>
    </cfRule>
    <cfRule type="expression" dxfId="4" priority="143">
      <formula>B72="ALL CHECKS GREEN"</formula>
    </cfRule>
  </conditionalFormatting>
  <conditionalFormatting sqref="B73:B114">
    <cfRule type="expression" dxfId="3" priority="59">
      <formula>B73="OK"</formula>
    </cfRule>
    <cfRule type="expression" dxfId="2" priority="60">
      <formula>B73="BREAK"</formula>
    </cfRule>
  </conditionalFormatting>
  <conditionalFormatting sqref="B26:D26">
    <cfRule type="expression" dxfId="1" priority="11">
      <formula>B26="OK"</formula>
    </cfRule>
    <cfRule type="expression" dxfId="0" priority="12">
      <formula>B26="BREAK"</formula>
    </cfRule>
  </conditionalFormatting>
  <pageMargins left="0.7" right="0.7" top="0.75" bottom="0.75" header="0.3" footer="0.3"/>
  <pageSetup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886</vt:i4>
      </vt:variant>
    </vt:vector>
  </HeadingPairs>
  <TitlesOfParts>
    <vt:vector size="898" baseType="lpstr">
      <vt:lpstr>00_Cover</vt:lpstr>
      <vt:lpstr>01_Assumptions</vt:lpstr>
      <vt:lpstr>02_Historicals</vt:lpstr>
      <vt:lpstr>03_Revenue</vt:lpstr>
      <vt:lpstr>04_Costs</vt:lpstr>
      <vt:lpstr>05_WC_Capex</vt:lpstr>
      <vt:lpstr>06_SBC_Tax_Shares</vt:lpstr>
      <vt:lpstr>07_IS</vt:lpstr>
      <vt:lpstr>08_BS</vt:lpstr>
      <vt:lpstr>09_CF</vt:lpstr>
      <vt:lpstr>10_DCF</vt:lpstr>
      <vt:lpstr>11_Sens_Checks</vt:lpstr>
      <vt:lpstr>Amort_FY2026</vt:lpstr>
      <vt:lpstr>Amort_FY2027</vt:lpstr>
      <vt:lpstr>Amort_FY2028</vt:lpstr>
      <vt:lpstr>Amort_FY2029</vt:lpstr>
      <vt:lpstr>Amort_FY2030</vt:lpstr>
      <vt:lpstr>AmortBasis_FY2026</vt:lpstr>
      <vt:lpstr>AmortBasis_FY2027</vt:lpstr>
      <vt:lpstr>AmortBasis_FY2028</vt:lpstr>
      <vt:lpstr>AmortBasis_FY2029</vt:lpstr>
      <vt:lpstr>AmortBasis_FY2030</vt:lpstr>
      <vt:lpstr>Assumption_accounts_payable_pct_revenue</vt:lpstr>
      <vt:lpstr>Assumption_accrued_expenses_pct_revenue</vt:lpstr>
      <vt:lpstr>Assumption_advertising_revenue_growth</vt:lpstr>
      <vt:lpstr>Assumption_amortization_pct_revenue</vt:lpstr>
      <vt:lpstr>Assumption_beta</vt:lpstr>
      <vt:lpstr>Assumption_capex_ppe_pct_revenue</vt:lpstr>
      <vt:lpstr>Assumption_capex_total_pct_revenue</vt:lpstr>
      <vt:lpstr>Assumption_capitalized_software_pct_revenue</vt:lpstr>
      <vt:lpstr>Assumption_cost_of_revenue_pct_revenue</vt:lpstr>
      <vt:lpstr>Assumption_deferred_cost_pct_revenue</vt:lpstr>
      <vt:lpstr>Assumption_deferred_revenue_pct_revenue</vt:lpstr>
      <vt:lpstr>Assumption_depreciation_pct_ppe_gross</vt:lpstr>
      <vt:lpstr>Assumption_depreciation_pct_revenue</vt:lpstr>
      <vt:lpstr>Assumption_det_revenue_growth</vt:lpstr>
      <vt:lpstr>Assumption_dpo_days</vt:lpstr>
      <vt:lpstr>Assumption_dso_days</vt:lpstr>
      <vt:lpstr>Assumption_effective_tax_rate</vt:lpstr>
      <vt:lpstr>Assumption_equity_risk_premium</vt:lpstr>
      <vt:lpstr>Assumption_fade_shape</vt:lpstr>
      <vt:lpstr>Assumption_ga_pct_revenue</vt:lpstr>
      <vt:lpstr>Assumption_iap_revenue_growth</vt:lpstr>
      <vt:lpstr>Assumption_income_tax_payable_pct_revenue</vt:lpstr>
      <vt:lpstr>Assumption_income_tax_receivable_pct_revenue</vt:lpstr>
      <vt:lpstr>Assumption_interest_income_rate</vt:lpstr>
      <vt:lpstr>Assumption_market_share_price</vt:lpstr>
      <vt:lpstr>Assumption_net_share_settlement_taxes</vt:lpstr>
      <vt:lpstr>Assumption_option_proceeds</vt:lpstr>
      <vt:lpstr>Assumption_other_income_net_pct_revenue</vt:lpstr>
      <vt:lpstr>Assumption_other_revenue_growth</vt:lpstr>
      <vt:lpstr>Assumption_paid_subscriber_fade_floor</vt:lpstr>
      <vt:lpstr>Assumption_paid_subscriber_growth</vt:lpstr>
      <vt:lpstr>Assumption_prepaid_expenses_pct_revenue</vt:lpstr>
      <vt:lpstr>Assumption_rd_pct_revenue</vt:lpstr>
      <vt:lpstr>Assumption_risk_free_rate</vt:lpstr>
      <vt:lpstr>Assumption_sbc_fade_end_pct_of_revenue</vt:lpstr>
      <vt:lpstr>Assumption_sbc_issuance_price</vt:lpstr>
      <vt:lpstr>Assumption_sbc_target_pct_of_revenue</vt:lpstr>
      <vt:lpstr>Assumption_share_repurchases</vt:lpstr>
      <vt:lpstr>Assumption_shares_outstanding</vt:lpstr>
      <vt:lpstr>Assumption_sm_pct_revenue</vt:lpstr>
      <vt:lpstr>Assumption_subscription_arpu</vt:lpstr>
      <vt:lpstr>Assumption_terminal_growth_rate</vt:lpstr>
      <vt:lpstr>Bookings_FY2026</vt:lpstr>
      <vt:lpstr>Bookings_FY2027</vt:lpstr>
      <vt:lpstr>Bookings_FY2028</vt:lpstr>
      <vt:lpstr>Bookings_FY2029</vt:lpstr>
      <vt:lpstr>Bookings_FY2030</vt:lpstr>
      <vt:lpstr>Bound_C2_PCT</vt:lpstr>
      <vt:lpstr>BS_APIC_FY2026</vt:lpstr>
      <vt:lpstr>BS_APIC_FY2027</vt:lpstr>
      <vt:lpstr>BS_APIC_FY2028</vt:lpstr>
      <vt:lpstr>BS_APIC_FY2029</vt:lpstr>
      <vt:lpstr>BS_APIC_FY2030</vt:lpstr>
      <vt:lpstr>BS_Cash_FY2026</vt:lpstr>
      <vt:lpstr>BS_Cash_FY2027</vt:lpstr>
      <vt:lpstr>BS_Cash_FY2028</vt:lpstr>
      <vt:lpstr>BS_Cash_FY2029</vt:lpstr>
      <vt:lpstr>BS_Cash_FY2030</vt:lpstr>
      <vt:lpstr>BS_Cash_Q2FY26</vt:lpstr>
      <vt:lpstr>BS_CurrentAssets_FY2026</vt:lpstr>
      <vt:lpstr>BS_CurrentAssets_FY2027</vt:lpstr>
      <vt:lpstr>BS_CurrentAssets_FY2028</vt:lpstr>
      <vt:lpstr>BS_CurrentAssets_FY2029</vt:lpstr>
      <vt:lpstr>BS_CurrentAssets_FY2030</vt:lpstr>
      <vt:lpstr>BS_CurrentLiab_FY2026</vt:lpstr>
      <vt:lpstr>BS_CurrentLiab_FY2027</vt:lpstr>
      <vt:lpstr>BS_CurrentLiab_FY2028</vt:lpstr>
      <vt:lpstr>BS_CurrentLiab_FY2029</vt:lpstr>
      <vt:lpstr>BS_CurrentLiab_FY2030</vt:lpstr>
      <vt:lpstr>BS_IntangNet_FY2026</vt:lpstr>
      <vt:lpstr>BS_IntangNet_FY2027</vt:lpstr>
      <vt:lpstr>BS_IntangNet_FY2028</vt:lpstr>
      <vt:lpstr>BS_IntangNet_FY2029</vt:lpstr>
      <vt:lpstr>BS_IntangNet_FY2030</vt:lpstr>
      <vt:lpstr>BS_LTI_FY2026</vt:lpstr>
      <vt:lpstr>BS_LTI_FY2027</vt:lpstr>
      <vt:lpstr>BS_LTI_FY2028</vt:lpstr>
      <vt:lpstr>BS_LTI_FY2029</vt:lpstr>
      <vt:lpstr>BS_LTI_FY2030</vt:lpstr>
      <vt:lpstr>BS_LTI_Q2FY26</vt:lpstr>
      <vt:lpstr>BS_NonCurrentAssets_FY2026</vt:lpstr>
      <vt:lpstr>BS_NonCurrentAssets_FY2027</vt:lpstr>
      <vt:lpstr>BS_NonCurrentAssets_FY2028</vt:lpstr>
      <vt:lpstr>BS_NonCurrentAssets_FY2029</vt:lpstr>
      <vt:lpstr>BS_NonCurrentAssets_FY2030</vt:lpstr>
      <vt:lpstr>BS_NonCurrentLiab_FY2026</vt:lpstr>
      <vt:lpstr>BS_NonCurrentLiab_FY2027</vt:lpstr>
      <vt:lpstr>BS_NonCurrentLiab_FY2028</vt:lpstr>
      <vt:lpstr>BS_NonCurrentLiab_FY2029</vt:lpstr>
      <vt:lpstr>BS_NonCurrentLiab_FY2030</vt:lpstr>
      <vt:lpstr>BS_PPENet_FY2026</vt:lpstr>
      <vt:lpstr>BS_PPENet_FY2027</vt:lpstr>
      <vt:lpstr>BS_PPENet_FY2028</vt:lpstr>
      <vt:lpstr>BS_PPENet_FY2029</vt:lpstr>
      <vt:lpstr>BS_PPENet_FY2030</vt:lpstr>
      <vt:lpstr>BS_Q2_APIC</vt:lpstr>
      <vt:lpstr>BS_Q2_Cash</vt:lpstr>
      <vt:lpstr>BS_Q2_Common</vt:lpstr>
      <vt:lpstr>BS_Q2_DTA</vt:lpstr>
      <vt:lpstr>BS_Q2_DTL</vt:lpstr>
      <vt:lpstr>BS_Q2_Goodwill</vt:lpstr>
      <vt:lpstr>BS_Q2_Intang</vt:lpstr>
      <vt:lpstr>BS_Q2_Lease</vt:lpstr>
      <vt:lpstr>BS_Q2_LTI</vt:lpstr>
      <vt:lpstr>BS_Q2_Other</vt:lpstr>
      <vt:lpstr>BS_Q2_PPE</vt:lpstr>
      <vt:lpstr>BS_Q2_RE</vt:lpstr>
      <vt:lpstr>BS_Q2_Restricted</vt:lpstr>
      <vt:lpstr>BS_Q2_ROU</vt:lpstr>
      <vt:lpstr>BS_Q2_STI</vt:lpstr>
      <vt:lpstr>BS_Q2_Treasury</vt:lpstr>
      <vt:lpstr>BS_RE_FY2026</vt:lpstr>
      <vt:lpstr>BS_RE_FY2027</vt:lpstr>
      <vt:lpstr>BS_RE_FY2028</vt:lpstr>
      <vt:lpstr>BS_RE_FY2029</vt:lpstr>
      <vt:lpstr>BS_RE_FY2030</vt:lpstr>
      <vt:lpstr>BS_STI_FY2026</vt:lpstr>
      <vt:lpstr>BS_STI_FY2027</vt:lpstr>
      <vt:lpstr>BS_STI_FY2028</vt:lpstr>
      <vt:lpstr>BS_STI_FY2029</vt:lpstr>
      <vt:lpstr>BS_STI_FY2030</vt:lpstr>
      <vt:lpstr>BS_STI_Q2FY26</vt:lpstr>
      <vt:lpstr>BS_TotalAssets_FY2026</vt:lpstr>
      <vt:lpstr>BS_TotalAssets_FY2027</vt:lpstr>
      <vt:lpstr>BS_TotalAssets_FY2028</vt:lpstr>
      <vt:lpstr>BS_TotalAssets_FY2029</vt:lpstr>
      <vt:lpstr>BS_TotalAssets_FY2030</vt:lpstr>
      <vt:lpstr>BS_TotalEquity_FY2026</vt:lpstr>
      <vt:lpstr>BS_TotalEquity_FY2027</vt:lpstr>
      <vt:lpstr>BS_TotalEquity_FY2028</vt:lpstr>
      <vt:lpstr>BS_TotalEquity_FY2029</vt:lpstr>
      <vt:lpstr>BS_TotalEquity_FY2030</vt:lpstr>
      <vt:lpstr>BS_TotalLiab_FY2026</vt:lpstr>
      <vt:lpstr>BS_TotalLiab_FY2027</vt:lpstr>
      <vt:lpstr>BS_TotalLiab_FY2028</vt:lpstr>
      <vt:lpstr>BS_TotalLiab_FY2029</vt:lpstr>
      <vt:lpstr>BS_TotalLiab_FY2030</vt:lpstr>
      <vt:lpstr>BS_TotalLiabEquity_FY2026</vt:lpstr>
      <vt:lpstr>BS_TotalLiabEquity_FY2027</vt:lpstr>
      <vt:lpstr>BS_TotalLiabEquity_FY2028</vt:lpstr>
      <vt:lpstr>BS_TotalLiabEquity_FY2029</vt:lpstr>
      <vt:lpstr>BS_TotalLiabEquity_FY2030</vt:lpstr>
      <vt:lpstr>BuybackBasis_FY2026</vt:lpstr>
      <vt:lpstr>BuybackBasis_FY2027</vt:lpstr>
      <vt:lpstr>BuybackBasis_FY2028</vt:lpstr>
      <vt:lpstr>BuybackBasis_FY2029</vt:lpstr>
      <vt:lpstr>BuybackBasis_FY2030</vt:lpstr>
      <vt:lpstr>Capex_PPE_FY2026</vt:lpstr>
      <vt:lpstr>Capex_PPE_FY2027</vt:lpstr>
      <vt:lpstr>Capex_PPE_FY2028</vt:lpstr>
      <vt:lpstr>Capex_PPE_FY2029</vt:lpstr>
      <vt:lpstr>Capex_PPE_FY2030</vt:lpstr>
      <vt:lpstr>Capex_Soft_FY2026</vt:lpstr>
      <vt:lpstr>Capex_Soft_FY2027</vt:lpstr>
      <vt:lpstr>Capex_Soft_FY2028</vt:lpstr>
      <vt:lpstr>Capex_Soft_FY2029</vt:lpstr>
      <vt:lpstr>Capex_Soft_FY2030</vt:lpstr>
      <vt:lpstr>Capex_Total_FY2026</vt:lpstr>
      <vt:lpstr>Capex_Total_FY2027</vt:lpstr>
      <vt:lpstr>Capex_Total_FY2028</vt:lpstr>
      <vt:lpstr>Capex_Total_FY2029</vt:lpstr>
      <vt:lpstr>Capex_Total_FY2030</vt:lpstr>
      <vt:lpstr>CapexPPEBasis_FY2026</vt:lpstr>
      <vt:lpstr>CapexPPEBasis_FY2027</vt:lpstr>
      <vt:lpstr>CapexPPEBasis_FY2028</vt:lpstr>
      <vt:lpstr>CapexPPEBasis_FY2029</vt:lpstr>
      <vt:lpstr>CapexPPEBasis_FY2030</vt:lpstr>
      <vt:lpstr>CapSoftBasis_FY2026</vt:lpstr>
      <vt:lpstr>CapSoftBasis_FY2027</vt:lpstr>
      <vt:lpstr>CapSoftBasis_FY2028</vt:lpstr>
      <vt:lpstr>CapSoftBasis_FY2029</vt:lpstr>
      <vt:lpstr>CapSoftBasis_FY2030</vt:lpstr>
      <vt:lpstr>CF_BegCash_FY2026</vt:lpstr>
      <vt:lpstr>CF_BegCash_FY2027</vt:lpstr>
      <vt:lpstr>CF_BegCash_FY2028</vt:lpstr>
      <vt:lpstr>CF_BegCash_FY2029</vt:lpstr>
      <vt:lpstr>CF_BegCash_FY2030</vt:lpstr>
      <vt:lpstr>CF_CapexPPE_FY2026</vt:lpstr>
      <vt:lpstr>CF_CapexPPE_FY2027</vt:lpstr>
      <vt:lpstr>CF_CapexPPE_FY2028</vt:lpstr>
      <vt:lpstr>CF_CapexPPE_FY2029</vt:lpstr>
      <vt:lpstr>CF_CapexPPE_FY2030</vt:lpstr>
      <vt:lpstr>CF_CapSoft_FY2026</vt:lpstr>
      <vt:lpstr>CF_CapSoft_FY2027</vt:lpstr>
      <vt:lpstr>CF_CapSoft_FY2028</vt:lpstr>
      <vt:lpstr>CF_CapSoft_FY2029</vt:lpstr>
      <vt:lpstr>CF_CapSoft_FY2030</vt:lpstr>
      <vt:lpstr>CF_CFF_FY2026</vt:lpstr>
      <vt:lpstr>CF_CFF_FY2027</vt:lpstr>
      <vt:lpstr>CF_CFF_FY2028</vt:lpstr>
      <vt:lpstr>CF_CFF_FY2029</vt:lpstr>
      <vt:lpstr>CF_CFF_FY2030</vt:lpstr>
      <vt:lpstr>CF_CFF_H2_FY2026</vt:lpstr>
      <vt:lpstr>CF_DeltaNWC_FY2026</vt:lpstr>
      <vt:lpstr>CF_DeltaNWC_FY2027</vt:lpstr>
      <vt:lpstr>CF_DeltaNWC_FY2028</vt:lpstr>
      <vt:lpstr>CF_DeltaNWC_FY2029</vt:lpstr>
      <vt:lpstr>CF_DeltaNWC_FY2030</vt:lpstr>
      <vt:lpstr>CF_DNA_FY2026</vt:lpstr>
      <vt:lpstr>CF_DNA_FY2027</vt:lpstr>
      <vt:lpstr>CF_DNA_FY2028</vt:lpstr>
      <vt:lpstr>CF_DNA_FY2029</vt:lpstr>
      <vt:lpstr>CF_DNA_FY2030</vt:lpstr>
      <vt:lpstr>CF_EndCash_FY2026</vt:lpstr>
      <vt:lpstr>CF_EndCash_FY2027</vt:lpstr>
      <vt:lpstr>CF_EndCash_FY2028</vt:lpstr>
      <vt:lpstr>CF_EndCash_FY2029</vt:lpstr>
      <vt:lpstr>CF_EndCash_FY2030</vt:lpstr>
      <vt:lpstr>CF_H1_CFF</vt:lpstr>
      <vt:lpstr>CF_H1_ICF</vt:lpstr>
      <vt:lpstr>CF_H1_NetChange</vt:lpstr>
      <vt:lpstr>CF_H1_OCF</vt:lpstr>
      <vt:lpstr>CF_ICF_FY2026</vt:lpstr>
      <vt:lpstr>CF_ICF_FY2027</vt:lpstr>
      <vt:lpstr>CF_ICF_FY2028</vt:lpstr>
      <vt:lpstr>CF_ICF_FY2029</vt:lpstr>
      <vt:lpstr>CF_ICF_FY2030</vt:lpstr>
      <vt:lpstr>CF_ICF_H2_FY2026</vt:lpstr>
      <vt:lpstr>CF_NetChange_FY2026</vt:lpstr>
      <vt:lpstr>CF_NetChange_FY2027</vt:lpstr>
      <vt:lpstr>CF_NetChange_FY2028</vt:lpstr>
      <vt:lpstr>CF_NetChange_FY2029</vt:lpstr>
      <vt:lpstr>CF_NetChange_FY2030</vt:lpstr>
      <vt:lpstr>CF_NetIncome_FY2026</vt:lpstr>
      <vt:lpstr>CF_NetIncome_FY2027</vt:lpstr>
      <vt:lpstr>CF_NetIncome_FY2028</vt:lpstr>
      <vt:lpstr>CF_NetIncome_FY2029</vt:lpstr>
      <vt:lpstr>CF_NetIncome_FY2030</vt:lpstr>
      <vt:lpstr>CF_NI_Solved_FY2026</vt:lpstr>
      <vt:lpstr>CF_OCF_FY2026</vt:lpstr>
      <vt:lpstr>CF_OCF_FY2027</vt:lpstr>
      <vt:lpstr>CF_OCF_FY2028</vt:lpstr>
      <vt:lpstr>CF_OCF_FY2029</vt:lpstr>
      <vt:lpstr>CF_OCF_FY2030</vt:lpstr>
      <vt:lpstr>CF_OCF_H2_FY2026</vt:lpstr>
      <vt:lpstr>CF_OptionProceeds_FY2026</vt:lpstr>
      <vt:lpstr>CF_OptionProceeds_FY2027</vt:lpstr>
      <vt:lpstr>CF_OptionProceeds_FY2028</vt:lpstr>
      <vt:lpstr>CF_OptionProceeds_FY2029</vt:lpstr>
      <vt:lpstr>CF_OptionProceeds_FY2030</vt:lpstr>
      <vt:lpstr>CF_SBC_FY2026</vt:lpstr>
      <vt:lpstr>CF_SBC_FY2027</vt:lpstr>
      <vt:lpstr>CF_SBC_FY2028</vt:lpstr>
      <vt:lpstr>CF_SBC_FY2029</vt:lpstr>
      <vt:lpstr>CF_SBC_FY2030</vt:lpstr>
      <vt:lpstr>CF_ShareRepurchases_FY2026</vt:lpstr>
      <vt:lpstr>CF_ShareRepurchases_FY2027</vt:lpstr>
      <vt:lpstr>CF_ShareRepurchases_FY2028</vt:lpstr>
      <vt:lpstr>CF_ShareRepurchases_FY2029</vt:lpstr>
      <vt:lpstr>CF_ShareRepurchases_FY2030</vt:lpstr>
      <vt:lpstr>CF_TaxSettlement_FY2026</vt:lpstr>
      <vt:lpstr>CF_TaxSettlement_FY2027</vt:lpstr>
      <vt:lpstr>CF_TaxSettlement_FY2028</vt:lpstr>
      <vt:lpstr>CF_TaxSettlement_FY2029</vt:lpstr>
      <vt:lpstr>CF_TaxSettlement_FY2030</vt:lpstr>
      <vt:lpstr>Check_BS_Balance_FY26</vt:lpstr>
      <vt:lpstr>Check_BS_CashTie_FY26</vt:lpstr>
      <vt:lpstr>Check_BS_ZeroPlug_FY26</vt:lpstr>
      <vt:lpstr>Check_CF_CashChain_FY26</vt:lpstr>
      <vt:lpstr>Check_CF_H2Modeled_FY26</vt:lpstr>
      <vt:lpstr>Check_CF_NetChange_FY26</vt:lpstr>
      <vt:lpstr>Check_Costs_GrossProfit_FY26</vt:lpstr>
      <vt:lpstr>Check_Costs_OpIncome_FY26</vt:lpstr>
      <vt:lpstr>Check_DCF_Canon_Le_Finite</vt:lpstr>
      <vt:lpstr>Check_DCF_Canonical_Tie</vt:lpstr>
      <vt:lpstr>Check_DCF_Days_Sum</vt:lpstr>
      <vt:lpstr>Check_DCF_Dilution_Diff</vt:lpstr>
      <vt:lpstr>Check_DCF_Discount_Factor</vt:lpstr>
      <vt:lpstr>Check_DCF_EV_Bridge</vt:lpstr>
      <vt:lpstr>Check_DCF_Finite_Tie</vt:lpstr>
      <vt:lpstr>Check_DCF_NetCash_Bridge</vt:lpstr>
      <vt:lpstr>Check_DCF_PV_Foot</vt:lpstr>
      <vt:lpstr>Check_DCF_Seam_FCFF</vt:lpstr>
      <vt:lpstr>Check_DCF_Spot_Gt_Canon</vt:lpstr>
      <vt:lpstr>Check_DCF_Spot_Tie</vt:lpstr>
      <vt:lpstr>Check_DCF_Stage_Adjacency</vt:lpstr>
      <vt:lpstr>Check_DCF_Stage_Sum</vt:lpstr>
      <vt:lpstr>Check_DCF_Stage1_A</vt:lpstr>
      <vt:lpstr>Check_DCF_Stage1_B</vt:lpstr>
      <vt:lpstr>Check_DCF_Stage2</vt:lpstr>
      <vt:lpstr>Check_DCF_Stage3_Basis</vt:lpstr>
      <vt:lpstr>Check_DCF_Wacc_Gt_G</vt:lpstr>
      <vt:lpstr>Check_DCF_Wacc_Ke</vt:lpstr>
      <vt:lpstr>Check_Hist_BS_FY25</vt:lpstr>
      <vt:lpstr>Check_Hist_CashRoll_FY25</vt:lpstr>
      <vt:lpstr>Check_Hist_EbitdaBridge_FY25</vt:lpstr>
      <vt:lpstr>Check_IS_EBIT_FY26</vt:lpstr>
      <vt:lpstr>Check_IS_GrossProfit_FY26</vt:lpstr>
      <vt:lpstr>Check_IS_IntParity_FY26</vt:lpstr>
      <vt:lpstr>Check_IS_NetIncome_FY26</vt:lpstr>
      <vt:lpstr>Check_IS_Pretax_FY26</vt:lpstr>
      <vt:lpstr>Check_IS_Seam_FY26</vt:lpstr>
      <vt:lpstr>Check_Ledger_BS_Bal</vt:lpstr>
      <vt:lpstr>Check_Ledger_BS_Cash</vt:lpstr>
      <vt:lpstr>Check_Ledger_BS_Zero</vt:lpstr>
      <vt:lpstr>Check_Ledger_C2_Ebitda</vt:lpstr>
      <vt:lpstr>Check_Ledger_C2_EV</vt:lpstr>
      <vt:lpstr>Check_Ledger_C2_Stage</vt:lpstr>
      <vt:lpstr>Check_Ledger_CF_Chain</vt:lpstr>
      <vt:lpstr>Check_Ledger_CF_H2</vt:lpstr>
      <vt:lpstr>Check_Ledger_CF_Net</vt:lpstr>
      <vt:lpstr>Check_Ledger_Cost_GP</vt:lpstr>
      <vt:lpstr>Check_Ledger_Cost_OI</vt:lpstr>
      <vt:lpstr>Check_Ledger_Cover_EV</vt:lpstr>
      <vt:lpstr>Check_Ledger_Cover_NetCash</vt:lpstr>
      <vt:lpstr>Check_Ledger_Cover_Price</vt:lpstr>
      <vt:lpstr>Check_Ledger_DCF_Bridge</vt:lpstr>
      <vt:lpstr>Check_Ledger_DCF_Canon</vt:lpstr>
      <vt:lpstr>Check_Ledger_DCF_Days</vt:lpstr>
      <vt:lpstr>Check_Ledger_DCF_Order</vt:lpstr>
      <vt:lpstr>Check_Ledger_DCF_PvFoot</vt:lpstr>
      <vt:lpstr>Check_Ledger_DCF_Seam</vt:lpstr>
      <vt:lpstr>Check_Ledger_DCF_StageSum</vt:lpstr>
      <vt:lpstr>Check_Ledger_DCF_Wacc</vt:lpstr>
      <vt:lpstr>Check_Ledger_DCF_Wg</vt:lpstr>
      <vt:lpstr>Check_Ledger_Hist_BS</vt:lpstr>
      <vt:lpstr>Check_Ledger_Hist_Cash</vt:lpstr>
      <vt:lpstr>Check_Ledger_Hist_Ebitda</vt:lpstr>
      <vt:lpstr>Check_Ledger_IS_Int</vt:lpstr>
      <vt:lpstr>Check_Ledger_IS_NI</vt:lpstr>
      <vt:lpstr>Check_Ledger_IS_Pretax</vt:lpstr>
      <vt:lpstr>Check_Ledger_IS_Seam</vt:lpstr>
      <vt:lpstr>Check_Ledger_Rev_Parity</vt:lpstr>
      <vt:lpstr>Check_Ledger_Rev_Roll</vt:lpstr>
      <vt:lpstr>Check_Ledger_SBC_Parity</vt:lpstr>
      <vt:lpstr>Check_Ledger_Sens_Center</vt:lpstr>
      <vt:lpstr>Check_Ledger_Sens_CostDir</vt:lpstr>
      <vt:lpstr>Check_Ledger_Sens_RevDir</vt:lpstr>
      <vt:lpstr>Check_Ledger_Sens_Scen</vt:lpstr>
      <vt:lpstr>Check_Ledger_Tax_Parity</vt:lpstr>
      <vt:lpstr>Check_Ledger_WC_Assets</vt:lpstr>
      <vt:lpstr>Check_Ledger_WC_Intang</vt:lpstr>
      <vt:lpstr>Check_Ledger_WC_Liab</vt:lpstr>
      <vt:lpstr>Check_Ledger_WC_PPE</vt:lpstr>
      <vt:lpstr>Check_Rev_DR_Roll_FY26</vt:lpstr>
      <vt:lpstr>Check_Rev_Engine_Parity_FY26</vt:lpstr>
      <vt:lpstr>Check_SBC_Target_Parity_FY26</vt:lpstr>
      <vt:lpstr>Check_Sens_Base_Canon</vt:lpstr>
      <vt:lpstr>Check_Sens_Dil_Down</vt:lpstr>
      <vt:lpstr>Check_Sens_Dil_Up</vt:lpstr>
      <vt:lpstr>Check_Sens_Grid_Center</vt:lpstr>
      <vt:lpstr>Check_Sens_Margin_Down</vt:lpstr>
      <vt:lpstr>Check_Sens_Margin_Up</vt:lpstr>
      <vt:lpstr>Check_Sens_Rev_Down</vt:lpstr>
      <vt:lpstr>Check_Sens_Rev_Up</vt:lpstr>
      <vt:lpstr>Check_Sens_SBC_Down</vt:lpstr>
      <vt:lpstr>Check_Sens_SBC_Up</vt:lpstr>
      <vt:lpstr>Check_Tax_Prov_Parity_FY26</vt:lpstr>
      <vt:lpstr>Check_WC_Asset_Foot_FY26</vt:lpstr>
      <vt:lpstr>Check_WC_Intang_Roll_FY26</vt:lpstr>
      <vt:lpstr>Check_WC_Liab_Foot_FY26</vt:lpstr>
      <vt:lpstr>Check_WC_PPE_Roll_FY26</vt:lpstr>
      <vt:lpstr>CHK_DCF_EquityEng</vt:lpstr>
      <vt:lpstr>CHK_DCF_EVEng</vt:lpstr>
      <vt:lpstr>CHK_DCF_ExplicitEng</vt:lpstr>
      <vt:lpstr>CHK_DCF_SharesSpotEng</vt:lpstr>
      <vt:lpstr>Control_Scenario</vt:lpstr>
      <vt:lpstr>CostOfRev_FY2026</vt:lpstr>
      <vt:lpstr>CostOfRev_FY2027</vt:lpstr>
      <vt:lpstr>CostOfRev_FY2028</vt:lpstr>
      <vt:lpstr>CostOfRev_FY2029</vt:lpstr>
      <vt:lpstr>CostOfRev_FY2030</vt:lpstr>
      <vt:lpstr>Cover_AsFiledNetCash</vt:lpstr>
      <vt:lpstr>Cover_CanonicalPrice</vt:lpstr>
      <vt:lpstr>Cover_Divisor</vt:lpstr>
      <vt:lpstr>Cover_EquityValue</vt:lpstr>
      <vt:lpstr>Cover_EV</vt:lpstr>
      <vt:lpstr>Cover_MarketPrice</vt:lpstr>
      <vt:lpstr>Cover_NetCash</vt:lpstr>
      <vt:lpstr>Cover_SharesDiluted</vt:lpstr>
      <vt:lpstr>Cover_TerminalGrowth</vt:lpstr>
      <vt:lpstr>Cover_WACC</vt:lpstr>
      <vt:lpstr>DCF_Dilution_Effect</vt:lpstr>
      <vt:lpstr>DCF_EquityValue</vt:lpstr>
      <vt:lpstr>DCF_EV</vt:lpstr>
      <vt:lpstr>DCF_FCFF_FY2026</vt:lpstr>
      <vt:lpstr>DCF_FCFF_FY2027</vt:lpstr>
      <vt:lpstr>DCF_FCFF_FY2028</vt:lpstr>
      <vt:lpstr>DCF_FCFF_FY2029</vt:lpstr>
      <vt:lpstr>DCF_FCFF_FY2030</vt:lpstr>
      <vt:lpstr>DCF_FCFF_FY2031</vt:lpstr>
      <vt:lpstr>DCF_FCFF_FY2032</vt:lpstr>
      <vt:lpstr>DCF_FCFF_FY2033</vt:lpstr>
      <vt:lpstr>DCF_FCFF_FY2034</vt:lpstr>
      <vt:lpstr>DCF_FCFF_FY2035</vt:lpstr>
      <vt:lpstr>DCF_H1_FCFF</vt:lpstr>
      <vt:lpstr>DCF_H5_Divisor</vt:lpstr>
      <vt:lpstr>DCF_H5_EV</vt:lpstr>
      <vt:lpstr>DCF_H5_PerShareCanonical</vt:lpstr>
      <vt:lpstr>DCF_H5_PerShareFinite</vt:lpstr>
      <vt:lpstr>DCF_NetCash</vt:lpstr>
      <vt:lpstr>DCF_PerShareCanonical</vt:lpstr>
      <vt:lpstr>DCF_PerShareFinite</vt:lpstr>
      <vt:lpstr>DCF_PerShareSpot</vt:lpstr>
      <vt:lpstr>DCF_PostVal_FCFF</vt:lpstr>
      <vt:lpstr>DCF_PreVal_FCFF</vt:lpstr>
      <vt:lpstr>DCF_PvExplicit</vt:lpstr>
      <vt:lpstr>DCF_PvStage1</vt:lpstr>
      <vt:lpstr>DCF_PvStage2</vt:lpstr>
      <vt:lpstr>DCF_PvTerminal</vt:lpstr>
      <vt:lpstr>DCF_RolledCash</vt:lpstr>
      <vt:lpstr>DCF_Shares_Finite</vt:lpstr>
      <vt:lpstr>DCF_Shares_Perp</vt:lpstr>
      <vt:lpstr>DCF_Shares_Spot</vt:lpstr>
      <vt:lpstr>DCF_T_FY2026</vt:lpstr>
      <vt:lpstr>DCF_T_FY2027</vt:lpstr>
      <vt:lpstr>DCF_T_FY2028</vt:lpstr>
      <vt:lpstr>DCF_T_FY2029</vt:lpstr>
      <vt:lpstr>DCF_T_FY2030</vt:lpstr>
      <vt:lpstr>DCF_T_FY2031</vt:lpstr>
      <vt:lpstr>DCF_T_FY2032</vt:lpstr>
      <vt:lpstr>DCF_T_FY2033</vt:lpstr>
      <vt:lpstr>DCF_T_FY2034</vt:lpstr>
      <vt:lpstr>DCF_T_FY2035</vt:lpstr>
      <vt:lpstr>DCF_TerminalGrowth</vt:lpstr>
      <vt:lpstr>DCF_TerminalValue</vt:lpstr>
      <vt:lpstr>DCF_TminusHalf_FY2026</vt:lpstr>
      <vt:lpstr>DCF_WACC</vt:lpstr>
      <vt:lpstr>DepBasis_FY2026</vt:lpstr>
      <vt:lpstr>DepBasis_FY2027</vt:lpstr>
      <vt:lpstr>DepBasis_FY2028</vt:lpstr>
      <vt:lpstr>DepBasis_FY2029</vt:lpstr>
      <vt:lpstr>DepBasis_FY2030</vt:lpstr>
      <vt:lpstr>Deprec_FY2026</vt:lpstr>
      <vt:lpstr>Deprec_FY2027</vt:lpstr>
      <vt:lpstr>Deprec_FY2028</vt:lpstr>
      <vt:lpstr>Deprec_FY2029</vt:lpstr>
      <vt:lpstr>Deprec_FY2030</vt:lpstr>
      <vt:lpstr>DNA_Total_FY2026</vt:lpstr>
      <vt:lpstr>DNA_Total_FY2027</vt:lpstr>
      <vt:lpstr>DNA_Total_FY2028</vt:lpstr>
      <vt:lpstr>DNA_Total_FY2029</vt:lpstr>
      <vt:lpstr>DNA_Total_FY2030</vt:lpstr>
      <vt:lpstr>DR_BOP_FY2026</vt:lpstr>
      <vt:lpstr>DR_BOP_FY2027</vt:lpstr>
      <vt:lpstr>DR_BOP_FY2028</vt:lpstr>
      <vt:lpstr>DR_BOP_FY2029</vt:lpstr>
      <vt:lpstr>DR_BOP_FY2030</vt:lpstr>
      <vt:lpstr>DR_EOP_FY2026</vt:lpstr>
      <vt:lpstr>DR_EOP_FY2027</vt:lpstr>
      <vt:lpstr>DR_EOP_FY2028</vt:lpstr>
      <vt:lpstr>DR_EOP_FY2029</vt:lpstr>
      <vt:lpstr>DR_EOP_FY2030</vt:lpstr>
      <vt:lpstr>EBIT_FY2026</vt:lpstr>
      <vt:lpstr>EBIT_FY2027</vt:lpstr>
      <vt:lpstr>EBIT_FY2028</vt:lpstr>
      <vt:lpstr>EBIT_FY2029</vt:lpstr>
      <vt:lpstr>EBIT_FY2030</vt:lpstr>
      <vt:lpstr>EBITH2_FY2026</vt:lpstr>
      <vt:lpstr>GrossProfit_FY2026</vt:lpstr>
      <vt:lpstr>GrossProfit_FY2027</vt:lpstr>
      <vt:lpstr>GrossProfit_FY2028</vt:lpstr>
      <vt:lpstr>GrossProfit_FY2029</vt:lpstr>
      <vt:lpstr>GrossProfit_FY2030</vt:lpstr>
      <vt:lpstr>Hist_Cash_Q2FY26</vt:lpstr>
      <vt:lpstr>Hist_DAU_FY2025</vt:lpstr>
      <vt:lpstr>Hist_EbitdaResid_FY25</vt:lpstr>
      <vt:lpstr>Hist_LTI_Q2FY26</vt:lpstr>
      <vt:lpstr>Hist_MAU_FY2025</vt:lpstr>
      <vt:lpstr>Hist_PaidSubs_FY2025</vt:lpstr>
      <vt:lpstr>Hist_Revenue_FY2025</vt:lpstr>
      <vt:lpstr>Hist_Revenue_FY21</vt:lpstr>
      <vt:lpstr>Hist_Revenue_FY22</vt:lpstr>
      <vt:lpstr>Hist_Revenue_FY23</vt:lpstr>
      <vt:lpstr>Hist_Revenue_FY24</vt:lpstr>
      <vt:lpstr>Hist_Revenue_FY25</vt:lpstr>
      <vt:lpstr>Hist_STI_Q2FY26</vt:lpstr>
      <vt:lpstr>Intangibles_BOP_FY2026</vt:lpstr>
      <vt:lpstr>Intangibles_BOP_FY2027</vt:lpstr>
      <vt:lpstr>Intangibles_BOP_FY2028</vt:lpstr>
      <vt:lpstr>Intangibles_BOP_FY2029</vt:lpstr>
      <vt:lpstr>Intangibles_BOP_FY2030</vt:lpstr>
      <vt:lpstr>Intangibles_FY2026</vt:lpstr>
      <vt:lpstr>Intangibles_FY2027</vt:lpstr>
      <vt:lpstr>Intangibles_FY2028</vt:lpstr>
      <vt:lpstr>Intangibles_FY2029</vt:lpstr>
      <vt:lpstr>Intangibles_FY2030</vt:lpstr>
      <vt:lpstr>IS_AvgInvested_FY2026</vt:lpstr>
      <vt:lpstr>IS_AvgInvested_FY2027</vt:lpstr>
      <vt:lpstr>IS_AvgInvested_FY2028</vt:lpstr>
      <vt:lpstr>IS_AvgInvested_FY2029</vt:lpstr>
      <vt:lpstr>IS_AvgInvested_FY2030</vt:lpstr>
      <vt:lpstr>IS_COGS_FY2026</vt:lpstr>
      <vt:lpstr>IS_COGS_FY2027</vt:lpstr>
      <vt:lpstr>IS_COGS_FY2028</vt:lpstr>
      <vt:lpstr>IS_COGS_FY2029</vt:lpstr>
      <vt:lpstr>IS_COGS_FY2030</vt:lpstr>
      <vt:lpstr>IS_EBIT_FY2026</vt:lpstr>
      <vt:lpstr>IS_EBIT_FY2027</vt:lpstr>
      <vt:lpstr>IS_EBIT_FY2028</vt:lpstr>
      <vt:lpstr>IS_EBIT_FY2029</vt:lpstr>
      <vt:lpstr>IS_EBIT_FY2030</vt:lpstr>
      <vt:lpstr>IS_EBIT_H1_Cited</vt:lpstr>
      <vt:lpstr>IS_GrossProfit_FY2026</vt:lpstr>
      <vt:lpstr>IS_GrossProfit_FY2027</vt:lpstr>
      <vt:lpstr>IS_GrossProfit_FY2028</vt:lpstr>
      <vt:lpstr>IS_GrossProfit_FY2029</vt:lpstr>
      <vt:lpstr>IS_GrossProfit_FY2030</vt:lpstr>
      <vt:lpstr>IS_Interest_FY2026</vt:lpstr>
      <vt:lpstr>IS_Interest_FY2027</vt:lpstr>
      <vt:lpstr>IS_Interest_FY2028</vt:lpstr>
      <vt:lpstr>IS_Interest_FY2029</vt:lpstr>
      <vt:lpstr>IS_Interest_FY2030</vt:lpstr>
      <vt:lpstr>IS_Interest_H1_Cited</vt:lpstr>
      <vt:lpstr>IS_InterestSolve_FY2026</vt:lpstr>
      <vt:lpstr>IS_InterestSolve_FY2027</vt:lpstr>
      <vt:lpstr>IS_InterestSolve_FY2028</vt:lpstr>
      <vt:lpstr>IS_InterestSolve_FY2029</vt:lpstr>
      <vt:lpstr>IS_InterestSolve_FY2030</vt:lpstr>
      <vt:lpstr>IS_InterestSolved_FY2026</vt:lpstr>
      <vt:lpstr>IS_InterestSolved_FY2027</vt:lpstr>
      <vt:lpstr>IS_InterestSolved_FY2028</vt:lpstr>
      <vt:lpstr>IS_InterestSolved_FY2029</vt:lpstr>
      <vt:lpstr>IS_InterestSolved_FY2030</vt:lpstr>
      <vt:lpstr>IS_NetIncome_FY2026</vt:lpstr>
      <vt:lpstr>IS_NetIncome_FY2027</vt:lpstr>
      <vt:lpstr>IS_NetIncome_FY2028</vt:lpstr>
      <vt:lpstr>IS_NetIncome_FY2029</vt:lpstr>
      <vt:lpstr>IS_NetIncome_FY2030</vt:lpstr>
      <vt:lpstr>IS_NI_H1_Cited</vt:lpstr>
      <vt:lpstr>IS_Opex_Total_FY2026</vt:lpstr>
      <vt:lpstr>IS_Opex_Total_FY2027</vt:lpstr>
      <vt:lpstr>IS_Opex_Total_FY2028</vt:lpstr>
      <vt:lpstr>IS_Opex_Total_FY2029</vt:lpstr>
      <vt:lpstr>IS_Opex_Total_FY2030</vt:lpstr>
      <vt:lpstr>IS_Other_H1_Cited</vt:lpstr>
      <vt:lpstr>IS_OtherIncome_FY2026</vt:lpstr>
      <vt:lpstr>IS_OtherIncome_FY2027</vt:lpstr>
      <vt:lpstr>IS_OtherIncome_FY2028</vt:lpstr>
      <vt:lpstr>IS_OtherIncome_FY2029</vt:lpstr>
      <vt:lpstr>IS_OtherIncome_FY2030</vt:lpstr>
      <vt:lpstr>IS_Pretax_FY2026</vt:lpstr>
      <vt:lpstr>IS_Pretax_FY2027</vt:lpstr>
      <vt:lpstr>IS_Pretax_FY2028</vt:lpstr>
      <vt:lpstr>IS_Pretax_FY2029</vt:lpstr>
      <vt:lpstr>IS_Pretax_FY2030</vt:lpstr>
      <vt:lpstr>IS_Revenue_FY2026</vt:lpstr>
      <vt:lpstr>IS_Revenue_FY2027</vt:lpstr>
      <vt:lpstr>IS_Revenue_FY2028</vt:lpstr>
      <vt:lpstr>IS_Revenue_FY2029</vt:lpstr>
      <vt:lpstr>IS_Revenue_FY2030</vt:lpstr>
      <vt:lpstr>IS_Tax_FY2026</vt:lpstr>
      <vt:lpstr>IS_Tax_FY2027</vt:lpstr>
      <vt:lpstr>IS_Tax_FY2028</vt:lpstr>
      <vt:lpstr>IS_Tax_FY2029</vt:lpstr>
      <vt:lpstr>IS_Tax_FY2030</vt:lpstr>
      <vt:lpstr>Master_Audit_Status</vt:lpstr>
      <vt:lpstr>NetIncome_FY2026</vt:lpstr>
      <vt:lpstr>NetIncome_FY2027</vt:lpstr>
      <vt:lpstr>NetIncome_FY2028</vt:lpstr>
      <vt:lpstr>NetIncome_FY2029</vt:lpstr>
      <vt:lpstr>NetIncome_FY2030</vt:lpstr>
      <vt:lpstr>NWC_FY2026</vt:lpstr>
      <vt:lpstr>NWC_FY2027</vt:lpstr>
      <vt:lpstr>NWC_FY2028</vt:lpstr>
      <vt:lpstr>NWC_FY2029</vt:lpstr>
      <vt:lpstr>NWC_FY2030</vt:lpstr>
      <vt:lpstr>NWC_Opening_Q2FY26</vt:lpstr>
      <vt:lpstr>OperatingIncome_FY2026</vt:lpstr>
      <vt:lpstr>OperatingIncome_FY2027</vt:lpstr>
      <vt:lpstr>OperatingIncome_FY2028</vt:lpstr>
      <vt:lpstr>OperatingIncome_FY2029</vt:lpstr>
      <vt:lpstr>OperatingIncome_FY2030</vt:lpstr>
      <vt:lpstr>Opex_GA_FY2026</vt:lpstr>
      <vt:lpstr>Opex_GA_FY2027</vt:lpstr>
      <vt:lpstr>Opex_GA_FY2028</vt:lpstr>
      <vt:lpstr>Opex_GA_FY2029</vt:lpstr>
      <vt:lpstr>Opex_GA_FY2030</vt:lpstr>
      <vt:lpstr>Opex_RD_FY2026</vt:lpstr>
      <vt:lpstr>Opex_RD_FY2027</vt:lpstr>
      <vt:lpstr>Opex_RD_FY2028</vt:lpstr>
      <vt:lpstr>Opex_RD_FY2029</vt:lpstr>
      <vt:lpstr>Opex_RD_FY2030</vt:lpstr>
      <vt:lpstr>Opex_SM_FY2026</vt:lpstr>
      <vt:lpstr>Opex_SM_FY2027</vt:lpstr>
      <vt:lpstr>Opex_SM_FY2028</vt:lpstr>
      <vt:lpstr>Opex_SM_FY2029</vt:lpstr>
      <vt:lpstr>Opex_SM_FY2030</vt:lpstr>
      <vt:lpstr>Opex_Total_FY2026</vt:lpstr>
      <vt:lpstr>Opex_Total_FY2027</vt:lpstr>
      <vt:lpstr>Opex_Total_FY2028</vt:lpstr>
      <vt:lpstr>Opex_Total_FY2029</vt:lpstr>
      <vt:lpstr>Opex_Total_FY2030</vt:lpstr>
      <vt:lpstr>OpSens_Dil_Base</vt:lpstr>
      <vt:lpstr>OpSens_Dil_DeltaHigh</vt:lpstr>
      <vt:lpstr>OpSens_Dil_DeltaLow</vt:lpstr>
      <vt:lpstr>OpSens_Dil_Down</vt:lpstr>
      <vt:lpstr>OpSens_Dil_Up</vt:lpstr>
      <vt:lpstr>OpSens_Margin_Base</vt:lpstr>
      <vt:lpstr>OpSens_Margin_DeltaHigh</vt:lpstr>
      <vt:lpstr>OpSens_Margin_DeltaLow</vt:lpstr>
      <vt:lpstr>OpSens_Margin_Down</vt:lpstr>
      <vt:lpstr>OpSens_Margin_Up</vt:lpstr>
      <vt:lpstr>OpSens_Rev_Base</vt:lpstr>
      <vt:lpstr>OpSens_Rev_DeltaHigh</vt:lpstr>
      <vt:lpstr>OpSens_Rev_DeltaLow</vt:lpstr>
      <vt:lpstr>OpSens_Rev_Down</vt:lpstr>
      <vt:lpstr>OpSens_Rev_Up</vt:lpstr>
      <vt:lpstr>OpSens_SBC_Base</vt:lpstr>
      <vt:lpstr>OpSens_SBC_DeltaHigh</vt:lpstr>
      <vt:lpstr>OpSens_SBC_DeltaLow</vt:lpstr>
      <vt:lpstr>OpSens_SBC_Down</vt:lpstr>
      <vt:lpstr>OpSens_SBC_Up</vt:lpstr>
      <vt:lpstr>OptionBasis_FY2026</vt:lpstr>
      <vt:lpstr>OptionBasis_FY2027</vt:lpstr>
      <vt:lpstr>OptionBasis_FY2028</vt:lpstr>
      <vt:lpstr>OptionBasis_FY2029</vt:lpstr>
      <vt:lpstr>OptionBasis_FY2030</vt:lpstr>
      <vt:lpstr>OptionProceeds_FY2026</vt:lpstr>
      <vt:lpstr>OptionProceeds_FY2027</vt:lpstr>
      <vt:lpstr>OptionProceeds_FY2028</vt:lpstr>
      <vt:lpstr>OptionProceeds_FY2029</vt:lpstr>
      <vt:lpstr>OptionProceeds_FY2030</vt:lpstr>
      <vt:lpstr>OtherH2_FY2026</vt:lpstr>
      <vt:lpstr>OtherIncome_FY2026</vt:lpstr>
      <vt:lpstr>OtherIncome_FY2027</vt:lpstr>
      <vt:lpstr>OtherIncome_FY2028</vt:lpstr>
      <vt:lpstr>OtherIncome_FY2029</vt:lpstr>
      <vt:lpstr>OtherIncome_FY2030</vt:lpstr>
      <vt:lpstr>PaidSubs_FY2026</vt:lpstr>
      <vt:lpstr>PaidSubs_FY2027</vt:lpstr>
      <vt:lpstr>PaidSubs_FY2028</vt:lpstr>
      <vt:lpstr>PaidSubs_FY2029</vt:lpstr>
      <vt:lpstr>PaidSubs_FY2030</vt:lpstr>
      <vt:lpstr>PPENet_BOP_FY2026</vt:lpstr>
      <vt:lpstr>PPENet_BOP_FY2027</vt:lpstr>
      <vt:lpstr>PPENet_BOP_FY2028</vt:lpstr>
      <vt:lpstr>PPENet_BOP_FY2029</vt:lpstr>
      <vt:lpstr>PPENet_BOP_FY2030</vt:lpstr>
      <vt:lpstr>PPENet_FY2026</vt:lpstr>
      <vt:lpstr>PPENet_FY2027</vt:lpstr>
      <vt:lpstr>PPENet_FY2028</vt:lpstr>
      <vt:lpstr>PPENet_FY2029</vt:lpstr>
      <vt:lpstr>PPENet_FY2030</vt:lpstr>
      <vt:lpstr>Pretax_FY2026</vt:lpstr>
      <vt:lpstr>Pretax_FY2027</vt:lpstr>
      <vt:lpstr>Pretax_FY2028</vt:lpstr>
      <vt:lpstr>Pretax_FY2029</vt:lpstr>
      <vt:lpstr>Pretax_FY2030</vt:lpstr>
      <vt:lpstr>PretaxIncome_FY2026</vt:lpstr>
      <vt:lpstr>PretaxIncome_FY2027</vt:lpstr>
      <vt:lpstr>PretaxIncome_FY2028</vt:lpstr>
      <vt:lpstr>PretaxIncome_FY2029</vt:lpstr>
      <vt:lpstr>PretaxIncome_FY2030</vt:lpstr>
      <vt:lpstr>'00_Cover'!Print_Titles</vt:lpstr>
      <vt:lpstr>'01_Assumptions'!Print_Titles</vt:lpstr>
      <vt:lpstr>'02_Historicals'!Print_Titles</vt:lpstr>
      <vt:lpstr>'03_Revenue'!Print_Titles</vt:lpstr>
      <vt:lpstr>'04_Costs'!Print_Titles</vt:lpstr>
      <vt:lpstr>'05_WC_Capex'!Print_Titles</vt:lpstr>
      <vt:lpstr>'06_SBC_Tax_Shares'!Print_Titles</vt:lpstr>
      <vt:lpstr>'07_IS'!Print_Titles</vt:lpstr>
      <vt:lpstr>'08_BS'!Print_Titles</vt:lpstr>
      <vt:lpstr>'09_CF'!Print_Titles</vt:lpstr>
      <vt:lpstr>'10_DCF'!Print_Titles</vt:lpstr>
      <vt:lpstr>'11_Sens_Checks'!Print_Titles</vt:lpstr>
      <vt:lpstr>RevAdv_FY2026</vt:lpstr>
      <vt:lpstr>RevAdv_FY2027</vt:lpstr>
      <vt:lpstr>RevAdv_FY2028</vt:lpstr>
      <vt:lpstr>RevAdv_FY2029</vt:lpstr>
      <vt:lpstr>RevAdv_FY2030</vt:lpstr>
      <vt:lpstr>RevDET_FY2026</vt:lpstr>
      <vt:lpstr>RevDET_FY2027</vt:lpstr>
      <vt:lpstr>RevDET_FY2028</vt:lpstr>
      <vt:lpstr>RevDET_FY2029</vt:lpstr>
      <vt:lpstr>RevDET_FY2030</vt:lpstr>
      <vt:lpstr>RevIAP_FY2026</vt:lpstr>
      <vt:lpstr>RevIAP_FY2027</vt:lpstr>
      <vt:lpstr>RevIAP_FY2028</vt:lpstr>
      <vt:lpstr>RevIAP_FY2029</vt:lpstr>
      <vt:lpstr>RevIAP_FY2030</vt:lpstr>
      <vt:lpstr>RevOther_FY2026</vt:lpstr>
      <vt:lpstr>RevOther_FY2027</vt:lpstr>
      <vt:lpstr>RevOther_FY2028</vt:lpstr>
      <vt:lpstr>RevOther_FY2029</vt:lpstr>
      <vt:lpstr>RevOther_FY2030</vt:lpstr>
      <vt:lpstr>RevSub_FY2026</vt:lpstr>
      <vt:lpstr>RevSub_FY2027</vt:lpstr>
      <vt:lpstr>RevSub_FY2028</vt:lpstr>
      <vt:lpstr>RevSub_FY2029</vt:lpstr>
      <vt:lpstr>RevSub_FY2030</vt:lpstr>
      <vt:lpstr>RevTotal_FY2026</vt:lpstr>
      <vt:lpstr>RevTotal_FY2027</vt:lpstr>
      <vt:lpstr>RevTotal_FY2028</vt:lpstr>
      <vt:lpstr>RevTotal_FY2029</vt:lpstr>
      <vt:lpstr>RevTotal_FY2030</vt:lpstr>
      <vt:lpstr>SBC_FY2026</vt:lpstr>
      <vt:lpstr>SBC_FY2027</vt:lpstr>
      <vt:lpstr>SBC_FY2028</vt:lpstr>
      <vt:lpstr>SBC_FY2029</vt:lpstr>
      <vt:lpstr>SBC_FY2030</vt:lpstr>
      <vt:lpstr>SBCBasis_FY2026</vt:lpstr>
      <vt:lpstr>SBCBasis_FY2027</vt:lpstr>
      <vt:lpstr>SBCBasis_FY2028</vt:lpstr>
      <vt:lpstr>SBCBasis_FY2029</vt:lpstr>
      <vt:lpstr>SBCBasis_FY2030</vt:lpstr>
      <vt:lpstr>Scen_Base_Canon</vt:lpstr>
      <vt:lpstr>Scen_Base_Equity</vt:lpstr>
      <vt:lpstr>Scen_Base_EV</vt:lpstr>
      <vt:lpstr>Scen_Base_Finite</vt:lpstr>
      <vt:lpstr>Scen_Base_G</vt:lpstr>
      <vt:lpstr>Scen_Base_NetCash</vt:lpstr>
      <vt:lpstr>Scen_Base_OpInc26</vt:lpstr>
      <vt:lpstr>Scen_Base_Rev26</vt:lpstr>
      <vt:lpstr>Scen_Base_Spot</vt:lpstr>
      <vt:lpstr>Scen_Base_WACC</vt:lpstr>
      <vt:lpstr>Scen_Bear_Canon</vt:lpstr>
      <vt:lpstr>Scen_Bear_Equity</vt:lpstr>
      <vt:lpstr>Scen_Bear_EV</vt:lpstr>
      <vt:lpstr>Scen_Bear_Finite</vt:lpstr>
      <vt:lpstr>Scen_Bear_G</vt:lpstr>
      <vt:lpstr>Scen_Bear_NetCash</vt:lpstr>
      <vt:lpstr>Scen_Bear_OpInc26</vt:lpstr>
      <vt:lpstr>Scen_Bear_Rev26</vt:lpstr>
      <vt:lpstr>Scen_Bear_Spot</vt:lpstr>
      <vt:lpstr>Scen_Bear_WACC</vt:lpstr>
      <vt:lpstr>Scen_Bull_Canon</vt:lpstr>
      <vt:lpstr>Scen_Bull_Equity</vt:lpstr>
      <vt:lpstr>Scen_Bull_EV</vt:lpstr>
      <vt:lpstr>Scen_Bull_Finite</vt:lpstr>
      <vt:lpstr>Scen_Bull_G</vt:lpstr>
      <vt:lpstr>Scen_Bull_NetCash</vt:lpstr>
      <vt:lpstr>Scen_Bull_OpInc26</vt:lpstr>
      <vt:lpstr>Scen_Bull_Rev26</vt:lpstr>
      <vt:lpstr>Scen_Bull_Spot</vt:lpstr>
      <vt:lpstr>Scen_Bull_WACC</vt:lpstr>
      <vt:lpstr>Sens_Center</vt:lpstr>
      <vt:lpstr>Sens_G_1</vt:lpstr>
      <vt:lpstr>Sens_G_2</vt:lpstr>
      <vt:lpstr>Sens_G_3</vt:lpstr>
      <vt:lpstr>Sens_G_4</vt:lpstr>
      <vt:lpstr>Sens_G_5</vt:lpstr>
      <vt:lpstr>Sens_G_Headline</vt:lpstr>
      <vt:lpstr>Sens_Grid_R1C1</vt:lpstr>
      <vt:lpstr>Sens_Grid_R1C2</vt:lpstr>
      <vt:lpstr>Sens_Grid_R1C3</vt:lpstr>
      <vt:lpstr>Sens_Grid_R1C4</vt:lpstr>
      <vt:lpstr>Sens_Grid_R1C5</vt:lpstr>
      <vt:lpstr>Sens_Grid_R2C1</vt:lpstr>
      <vt:lpstr>Sens_Grid_R2C2</vt:lpstr>
      <vt:lpstr>Sens_Grid_R2C3</vt:lpstr>
      <vt:lpstr>Sens_Grid_R2C4</vt:lpstr>
      <vt:lpstr>Sens_Grid_R2C5</vt:lpstr>
      <vt:lpstr>Sens_Grid_R3C1</vt:lpstr>
      <vt:lpstr>Sens_Grid_R3C2</vt:lpstr>
      <vt:lpstr>Sens_Grid_R3C3</vt:lpstr>
      <vt:lpstr>Sens_Grid_R3C4</vt:lpstr>
      <vt:lpstr>Sens_Grid_R3C5</vt:lpstr>
      <vt:lpstr>Sens_Grid_R4C1</vt:lpstr>
      <vt:lpstr>Sens_Grid_R4C2</vt:lpstr>
      <vt:lpstr>Sens_Grid_R4C3</vt:lpstr>
      <vt:lpstr>Sens_Grid_R4C4</vt:lpstr>
      <vt:lpstr>Sens_Grid_R4C5</vt:lpstr>
      <vt:lpstr>Sens_Grid_R5C1</vt:lpstr>
      <vt:lpstr>Sens_Grid_R5C2</vt:lpstr>
      <vt:lpstr>Sens_Grid_R5C3</vt:lpstr>
      <vt:lpstr>Sens_Grid_R5C4</vt:lpstr>
      <vt:lpstr>Sens_Grid_R5C5</vt:lpstr>
      <vt:lpstr>Sens_Grid_R6C1</vt:lpstr>
      <vt:lpstr>Sens_Grid_R6C2</vt:lpstr>
      <vt:lpstr>Sens_Grid_R6C3</vt:lpstr>
      <vt:lpstr>Sens_Grid_R6C4</vt:lpstr>
      <vt:lpstr>Sens_Grid_R6C5</vt:lpstr>
      <vt:lpstr>Sens_Grid_R7C1</vt:lpstr>
      <vt:lpstr>Sens_Grid_R7C2</vt:lpstr>
      <vt:lpstr>Sens_Grid_R7C3</vt:lpstr>
      <vt:lpstr>Sens_Grid_R7C4</vt:lpstr>
      <vt:lpstr>Sens_Grid_R7C5</vt:lpstr>
      <vt:lpstr>Sens_Grid_R8C1</vt:lpstr>
      <vt:lpstr>Sens_Grid_R8C2</vt:lpstr>
      <vt:lpstr>Sens_Grid_R8C3</vt:lpstr>
      <vt:lpstr>Sens_Grid_R8C4</vt:lpstr>
      <vt:lpstr>Sens_Grid_R8C5</vt:lpstr>
      <vt:lpstr>Sens_Grid_R9C1</vt:lpstr>
      <vt:lpstr>Sens_Grid_R9C2</vt:lpstr>
      <vt:lpstr>Sens_Grid_R9C3</vt:lpstr>
      <vt:lpstr>Sens_Grid_R9C4</vt:lpstr>
      <vt:lpstr>Sens_Grid_R9C5</vt:lpstr>
      <vt:lpstr>Sens_Headline_Canonical</vt:lpstr>
      <vt:lpstr>Sens_WACC_1</vt:lpstr>
      <vt:lpstr>Sens_WACC_2</vt:lpstr>
      <vt:lpstr>Sens_WACC_3</vt:lpstr>
      <vt:lpstr>Sens_WACC_4</vt:lpstr>
      <vt:lpstr>Sens_WACC_5</vt:lpstr>
      <vt:lpstr>Sens_WACC_6</vt:lpstr>
      <vt:lpstr>Sens_WACC_7</vt:lpstr>
      <vt:lpstr>Sens_WACC_8</vt:lpstr>
      <vt:lpstr>Sens_WACC_9</vt:lpstr>
      <vt:lpstr>Sens_WACC_Headline</vt:lpstr>
      <vt:lpstr>SettlementBasis_FY2026</vt:lpstr>
      <vt:lpstr>SettlementBasis_FY2027</vt:lpstr>
      <vt:lpstr>SettlementBasis_FY2028</vt:lpstr>
      <vt:lpstr>SettlementBasis_FY2029</vt:lpstr>
      <vt:lpstr>SettlementBasis_FY2030</vt:lpstr>
      <vt:lpstr>ShareRepurchases_FY2026</vt:lpstr>
      <vt:lpstr>ShareRepurchases_FY2027</vt:lpstr>
      <vt:lpstr>ShareRepurchases_FY2028</vt:lpstr>
      <vt:lpstr>ShareRepurchases_FY2029</vt:lpstr>
      <vt:lpstr>ShareRepurchases_FY2030</vt:lpstr>
      <vt:lpstr>SharesDiluted_FY2026</vt:lpstr>
      <vt:lpstr>SharesDiluted_FY2027</vt:lpstr>
      <vt:lpstr>SharesDiluted_FY2028</vt:lpstr>
      <vt:lpstr>SharesDiluted_FY2029</vt:lpstr>
      <vt:lpstr>SharesDiluted_FY2030</vt:lpstr>
      <vt:lpstr>SolvedH2_FY2026</vt:lpstr>
      <vt:lpstr>Stage1_First</vt:lpstr>
      <vt:lpstr>Stage1_Label</vt:lpstr>
      <vt:lpstr>Stage1_Last</vt:lpstr>
      <vt:lpstr>Stage1_Last_Year</vt:lpstr>
      <vt:lpstr>Stage2_First</vt:lpstr>
      <vt:lpstr>Stage2_First_Year</vt:lpstr>
      <vt:lpstr>Stage2_Label</vt:lpstr>
      <vt:lpstr>Stage2_Last</vt:lpstr>
      <vt:lpstr>Stage3_Label</vt:lpstr>
      <vt:lpstr>TaxProv_FY2026</vt:lpstr>
      <vt:lpstr>TaxProv_FY2027</vt:lpstr>
      <vt:lpstr>TaxProv_FY2028</vt:lpstr>
      <vt:lpstr>TaxProv_FY2029</vt:lpstr>
      <vt:lpstr>TaxProv_FY2030</vt:lpstr>
      <vt:lpstr>TaxSettlement_FY2026</vt:lpstr>
      <vt:lpstr>TaxSettlement_FY2027</vt:lpstr>
      <vt:lpstr>TaxSettlement_FY2028</vt:lpstr>
      <vt:lpstr>TaxSettlement_FY2029</vt:lpstr>
      <vt:lpstr>TaxSettlement_FY2030</vt:lpstr>
      <vt:lpstr>Tolerance_PerShare</vt:lpstr>
      <vt:lpstr>Tolerance_USD</vt:lpstr>
      <vt:lpstr>WC_Accrued_FY2026</vt:lpstr>
      <vt:lpstr>WC_Accrued_FY2027</vt:lpstr>
      <vt:lpstr>WC_Accrued_FY2028</vt:lpstr>
      <vt:lpstr>WC_Accrued_FY2029</vt:lpstr>
      <vt:lpstr>WC_Accrued_FY2030</vt:lpstr>
      <vt:lpstr>WC_AP_FY2026</vt:lpstr>
      <vt:lpstr>WC_AP_FY2027</vt:lpstr>
      <vt:lpstr>WC_AP_FY2028</vt:lpstr>
      <vt:lpstr>WC_AP_FY2029</vt:lpstr>
      <vt:lpstr>WC_AP_FY2030</vt:lpstr>
      <vt:lpstr>WC_AR_FY2026</vt:lpstr>
      <vt:lpstr>WC_AR_FY2027</vt:lpstr>
      <vt:lpstr>WC_AR_FY2028</vt:lpstr>
      <vt:lpstr>WC_AR_FY2029</vt:lpstr>
      <vt:lpstr>WC_AR_FY2030</vt:lpstr>
      <vt:lpstr>WC_DefCost_FY2026</vt:lpstr>
      <vt:lpstr>WC_DefCost_FY2027</vt:lpstr>
      <vt:lpstr>WC_DefCost_FY2028</vt:lpstr>
      <vt:lpstr>WC_DefCost_FY2029</vt:lpstr>
      <vt:lpstr>WC_DefCost_FY2030</vt:lpstr>
      <vt:lpstr>WC_DR_FY2026</vt:lpstr>
      <vt:lpstr>WC_DR_FY2027</vt:lpstr>
      <vt:lpstr>WC_DR_FY2028</vt:lpstr>
      <vt:lpstr>WC_DR_FY2029</vt:lpstr>
      <vt:lpstr>WC_DR_FY2030</vt:lpstr>
      <vt:lpstr>WC_Prepaid_FY2026</vt:lpstr>
      <vt:lpstr>WC_Prepaid_FY2027</vt:lpstr>
      <vt:lpstr>WC_Prepaid_FY2028</vt:lpstr>
      <vt:lpstr>WC_Prepaid_FY2029</vt:lpstr>
      <vt:lpstr>WC_Prepaid_FY2030</vt:lpstr>
      <vt:lpstr>WC_TaxPay_FY2026</vt:lpstr>
      <vt:lpstr>WC_TaxPay_FY2027</vt:lpstr>
      <vt:lpstr>WC_TaxPay_FY2028</vt:lpstr>
      <vt:lpstr>WC_TaxPay_FY2029</vt:lpstr>
      <vt:lpstr>WC_TaxPay_FY2030</vt:lpstr>
      <vt:lpstr>WC_TaxRec_FY2026</vt:lpstr>
      <vt:lpstr>WC_TaxRec_FY2027</vt:lpstr>
      <vt:lpstr>WC_TaxRec_FY2028</vt:lpstr>
      <vt:lpstr>WC_TaxRec_FY2029</vt:lpstr>
      <vt:lpstr>WC_TaxRec_FY2030</vt:lpstr>
      <vt:lpstr>WC_TotalAssets_FY2026</vt:lpstr>
      <vt:lpstr>WC_TotalAssets_FY2027</vt:lpstr>
      <vt:lpstr>WC_TotalAssets_FY2028</vt:lpstr>
      <vt:lpstr>WC_TotalAssets_FY2029</vt:lpstr>
      <vt:lpstr>WC_TotalAssets_FY2030</vt:lpstr>
      <vt:lpstr>WC_TotalLiab_FY2026</vt:lpstr>
      <vt:lpstr>WC_TotalLiab_FY2027</vt:lpstr>
      <vt:lpstr>WC_TotalLiab_FY2028</vt:lpstr>
      <vt:lpstr>WC_TotalLiab_FY2029</vt:lpstr>
      <vt:lpstr>WC_TotalLiab_FY2030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Duolingo, Inc. — Financial Model (Institutional Street Model)</dc:title>
  <dc:subject>Institutional Financial Model — Standalone street spine, 12 tabs</dc:subject>
  <dc:creator>Faraz Shaikh</dc:creator>
  <cp:keywords/>
  <dc:description/>
  <cp:lastModifiedBy>Faraz Shaikh</cp:lastModifiedBy>
  <dcterms:created xsi:type="dcterms:W3CDTF">2026-10-08T00:00:00Z</dcterms:created>
  <dcterms:modified xsi:type="dcterms:W3CDTF">2026-10-10T16:20:44Z</dcterms:modified>
  <cp:category/>
</cp:coreProperties>
</file>