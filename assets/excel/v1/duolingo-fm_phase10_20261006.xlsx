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5D0B7B4D-4E35-4BC2-9F32-6BC08CD0268D}" xr6:coauthVersionLast="47" xr6:coauthVersionMax="47" xr10:uidLastSave="{00000000-0000-0000-0000-000000000000}"/>
  <bookViews>
    <workbookView xWindow="-108" yWindow="-108" windowWidth="23256" windowHeight="13176" activeTab="5" xr2:uid="{00000000-000D-0000-FFFF-FFFF00000000}"/>
  </bookViews>
  <sheets>
    <sheet name="00_Cover" sheetId="1" r:id="rId1"/>
    <sheet name="01_Control" sheetId="2" r:id="rId2"/>
    <sheet name="02_Sources" sheetId="3" r:id="rId3"/>
    <sheet name="03_Historicals" sheetId="4" r:id="rId4"/>
    <sheet name="04_Assumptions" sheetId="5" r:id="rId5"/>
    <sheet name="05_User_Model" sheetId="6" r:id="rId6"/>
    <sheet name="06_Revenue_Bookings" sheetId="7" r:id="rId7"/>
    <sheet name="07_Costs_Opex" sheetId="8" r:id="rId8"/>
    <sheet name="08_Working_Capital" sheetId="9" r:id="rId9"/>
    <sheet name="09_Capex_DA" sheetId="10" r:id="rId10"/>
    <sheet name="10_SBC_Shares" sheetId="11" r:id="rId11"/>
    <sheet name="11_Taxes" sheetId="12" r:id="rId12"/>
    <sheet name="12_IS" sheetId="13" r:id="rId13"/>
    <sheet name="13_BS" sheetId="15" r:id="rId14"/>
    <sheet name="14_CF" sheetId="14" r:id="rId15"/>
    <sheet name="15_DCF" sheetId="16" r:id="rId16"/>
    <sheet name="16_Scenarios_Sens" sheetId="17" r:id="rId17"/>
    <sheet name="17_Checks" sheetId="18" r:id="rId18"/>
    <sheet name="18_Summary" sheetId="19" r:id="rId19"/>
  </sheets>
  <definedNames>
    <definedName name="Accrued_FY2026">'08_Working_Capital'!$B$13</definedName>
    <definedName name="Accrued_FY2027">'08_Working_Capital'!$C$13</definedName>
    <definedName name="Accrued_FY2028">'08_Working_Capital'!$D$13</definedName>
    <definedName name="Accrued_FY2029">'08_Working_Capital'!$E$13</definedName>
    <definedName name="Accrued_FY2030">'08_Working_Capital'!$F$13</definedName>
    <definedName name="AmortBasis_FY2026">'09_Capex_DA'!$B$29</definedName>
    <definedName name="AmortBasis_FY2027">'09_Capex_DA'!$C$29</definedName>
    <definedName name="AmortBasis_FY2028">'09_Capex_DA'!$D$29</definedName>
    <definedName name="AmortBasis_FY2029">'09_Capex_DA'!$E$29</definedName>
    <definedName name="AmortBasis_FY2030">'09_Capex_DA'!$F$29</definedName>
    <definedName name="AP_FY2026">'08_Working_Capital'!$B$12</definedName>
    <definedName name="AP_FY2027">'08_Working_Capital'!$C$12</definedName>
    <definedName name="AP_FY2028">'08_Working_Capital'!$D$12</definedName>
    <definedName name="AP_FY2029">'08_Working_Capital'!$E$12</definedName>
    <definedName name="AP_FY2030">'08_Working_Capital'!$F$12</definedName>
    <definedName name="AR_FY2026">'08_Working_Capital'!$B$5</definedName>
    <definedName name="AR_FY2027">'08_Working_Capital'!$C$5</definedName>
    <definedName name="AR_FY2028">'08_Working_Capital'!$D$5</definedName>
    <definedName name="AR_FY2029">'08_Working_Capital'!$E$5</definedName>
    <definedName name="AR_FY2030">'08_Working_Capital'!$F$5</definedName>
    <definedName name="Assumption_accounts_payable_pct_revenue">'04_Assumptions'!$C$20</definedName>
    <definedName name="Assumption_accrued_expenses_pct_revenue">'04_Assumptions'!$C$21</definedName>
    <definedName name="Assumption_advertising_revenue_growth">'04_Assumptions'!$C$8</definedName>
    <definedName name="Assumption_amortization_pct_revenue">'04_Assumptions'!$C$28</definedName>
    <definedName name="Assumption_beta">'04_Assumptions'!$C$48</definedName>
    <definedName name="Assumption_capex_ppe_pct_revenue">'04_Assumptions'!$C$24</definedName>
    <definedName name="Assumption_capex_total_pct_revenue">'04_Assumptions'!$C$26</definedName>
    <definedName name="Assumption_capitalized_software_pct_revenue">'04_Assumptions'!$C$25</definedName>
    <definedName name="Assumption_cost_of_revenue_pct_revenue">'04_Assumptions'!$C$34</definedName>
    <definedName name="Assumption_deferred_cost_pct_revenue">'04_Assumptions'!$C$16</definedName>
    <definedName name="Assumption_deferred_revenue_pct_revenue">'04_Assumptions'!$C$15</definedName>
    <definedName name="Assumption_depreciation_pct_ppe_gross">'04_Assumptions'!$C$29</definedName>
    <definedName name="Assumption_depreciation_pct_revenue">'04_Assumptions'!$C$27</definedName>
    <definedName name="Assumption_det_revenue_growth">'04_Assumptions'!$C$9</definedName>
    <definedName name="Assumption_dpo_days">'04_Assumptions'!$C$19</definedName>
    <definedName name="Assumption_dso_days">'04_Assumptions'!$C$14</definedName>
    <definedName name="Assumption_effective_tax_rate">'04_Assumptions'!$C$40</definedName>
    <definedName name="Assumption_equity_risk_premium">'04_Assumptions'!$C$49</definedName>
    <definedName name="Assumption_fade_shape">'04_Assumptions'!$C$54</definedName>
    <definedName name="Assumption_ga_pct_revenue">'04_Assumptions'!$C$37</definedName>
    <definedName name="Assumption_iap_revenue_growth">'04_Assumptions'!$C$10</definedName>
    <definedName name="Assumption_income_tax_payable_pct_revenue">'04_Assumptions'!$C$22</definedName>
    <definedName name="Assumption_income_tax_receivable_pct_revenue">'04_Assumptions'!$C$18</definedName>
    <definedName name="Assumption_interest_income_rate">'04_Assumptions'!$C$45</definedName>
    <definedName name="Assumption_market_share_price">'04_Assumptions'!$C$51</definedName>
    <definedName name="Assumption_net_share_settlement_taxes">'04_Assumptions'!$C$44</definedName>
    <definedName name="Assumption_option_proceeds">'04_Assumptions'!$C$43</definedName>
    <definedName name="Assumption_other_income_net_pct_revenue">'04_Assumptions'!$C$38</definedName>
    <definedName name="Assumption_other_revenue_growth">'04_Assumptions'!$C$11</definedName>
    <definedName name="Assumption_paid_subscriber_fade_floor">'04_Assumptions'!$C$12</definedName>
    <definedName name="Assumption_paid_subscriber_growth">'04_Assumptions'!$C$6</definedName>
    <definedName name="Assumption_prepaid_expenses_pct_revenue">'04_Assumptions'!$C$17</definedName>
    <definedName name="Assumption_rd_pct_revenue">'04_Assumptions'!$C$35</definedName>
    <definedName name="Assumption_risk_free_rate">'04_Assumptions'!$C$47</definedName>
    <definedName name="Assumption_sbc_fade_end_pct_of_revenue">'04_Assumptions'!$C$32</definedName>
    <definedName name="Assumption_sbc_issuance_price">'04_Assumptions'!$C$53</definedName>
    <definedName name="Assumption_sbc_target_pct_of_revenue">'04_Assumptions'!$C$31</definedName>
    <definedName name="Assumption_share_repurchases">'04_Assumptions'!$C$42</definedName>
    <definedName name="Assumption_shares_outstanding">'04_Assumptions'!$C$52</definedName>
    <definedName name="Assumption_sm_pct_revenue">'04_Assumptions'!$C$36</definedName>
    <definedName name="Assumption_subscription_arpu">'04_Assumptions'!$C$7</definedName>
    <definedName name="Assumption_terminal_growth_rate">'04_Assumptions'!$C$50</definedName>
    <definedName name="Bound_C2_PCT">'17_Checks'!$B$59</definedName>
    <definedName name="BS_Cash_Q2FY26">'03_Historicals'!$K$30</definedName>
    <definedName name="BS_LTI_Q2FY26">'03_Historicals'!$K$58</definedName>
    <definedName name="BS_STI_Q2FY26">'03_Historicals'!$K$56</definedName>
    <definedName name="BSQ2_APIC">'13_BS'!$B$18</definedName>
    <definedName name="BSQ2_Cash">'13_BS'!$B$7</definedName>
    <definedName name="BSQ2_Common">'13_BS'!$B$17</definedName>
    <definedName name="BSQ2_DTA">'13_BS'!$B$13</definedName>
    <definedName name="BSQ2_DTL">'13_BS'!$B$16</definedName>
    <definedName name="BSQ2_Goodwill">'13_BS'!$B$11</definedName>
    <definedName name="BSQ2_Lease">'13_BS'!$B$15</definedName>
    <definedName name="BSQ2_LTI">'13_BS'!$B$9</definedName>
    <definedName name="BSQ2_Other">'13_BS'!$B$14</definedName>
    <definedName name="BSQ2_RE">'13_BS'!$B$19</definedName>
    <definedName name="BSQ2_Restricted">'13_BS'!$B$12</definedName>
    <definedName name="BSQ2_ROU">'13_BS'!$B$10</definedName>
    <definedName name="BSQ2_STI">'13_BS'!$B$8</definedName>
    <definedName name="BSQ2_Treasury">'13_BS'!$B$20</definedName>
    <definedName name="BuybackBasis_FY2026">'10_SBC_Shares'!$B$21</definedName>
    <definedName name="BuybackBasis_FY2027">'10_SBC_Shares'!$C$21</definedName>
    <definedName name="BuybackBasis_FY2028">'10_SBC_Shares'!$D$21</definedName>
    <definedName name="BuybackBasis_FY2029">'10_SBC_Shares'!$E$21</definedName>
    <definedName name="BuybackBasis_FY2030">'10_SBC_Shares'!$F$21</definedName>
    <definedName name="CapexPPEBasis_FY2026">'09_Capex_DA'!$B$26</definedName>
    <definedName name="CapexPPEBasis_FY2027">'09_Capex_DA'!$C$26</definedName>
    <definedName name="CapexPPEBasis_FY2028">'09_Capex_DA'!$D$26</definedName>
    <definedName name="CapexPPEBasis_FY2029">'09_Capex_DA'!$E$26</definedName>
    <definedName name="CapexPPEBasis_FY2030">'09_Capex_DA'!$F$26</definedName>
    <definedName name="CapSoftBasis_FY2026">'09_Capex_DA'!$B$27</definedName>
    <definedName name="CapSoftBasis_FY2027">'09_Capex_DA'!$C$27</definedName>
    <definedName name="CapSoftBasis_FY2028">'09_Capex_DA'!$D$27</definedName>
    <definedName name="CapSoftBasis_FY2029">'09_Capex_DA'!$E$27</definedName>
    <definedName name="CapSoftBasis_FY2030">'09_Capex_DA'!$F$27</definedName>
    <definedName name="CF_EndCash_FY2026">'14_CF'!$B$31</definedName>
    <definedName name="CF_EndCash_FY2027">'14_CF'!$C$31</definedName>
    <definedName name="CF_EndCash_FY2028">'14_CF'!$D$31</definedName>
    <definedName name="CF_EndCash_FY2029">'14_CF'!$E$31</definedName>
    <definedName name="CF_EndCash_FY2030">'14_CF'!$F$31</definedName>
    <definedName name="CF_ICF_FY2026">'14_CF'!$B$21</definedName>
    <definedName name="CF_ICF_FY2027">'14_CF'!$C$21</definedName>
    <definedName name="CF_ICF_FY2028">'14_CF'!$D$21</definedName>
    <definedName name="CF_ICF_FY2029">'14_CF'!$E$21</definedName>
    <definedName name="CF_ICF_FY2030">'14_CF'!$F$21</definedName>
    <definedName name="CF_ICF_H1_FY2026">'14_CF'!$B$7</definedName>
    <definedName name="CF_ICF_H2_FY2026">'14_CF'!$B$20</definedName>
    <definedName name="CF_InterestBasisNote">'14_CF'!$A$44</definedName>
    <definedName name="CF_NI_Solved_FY2026">'14_CF'!$B$11</definedName>
    <definedName name="CF_OCF_FY2026">'14_CF'!$B$16</definedName>
    <definedName name="CF_OCF_FY2027">'14_CF'!$C$16</definedName>
    <definedName name="CF_OCF_FY2028">'14_CF'!$D$16</definedName>
    <definedName name="CF_OCF_FY2029">'14_CF'!$E$16</definedName>
    <definedName name="CF_OCF_FY2030">'14_CF'!$F$16</definedName>
    <definedName name="CF_OCF_H1_FY2026">'14_CF'!$B$6</definedName>
    <definedName name="CF_OCF_H2_FY2026">'14_CF'!$B$15</definedName>
    <definedName name="CF_OCF_H2_FY2027">'14_CF'!$C$15</definedName>
    <definedName name="CF_OCF_H2_FY2028">'14_CF'!$D$15</definedName>
    <definedName name="CF_OCF_H2_FY2029">'14_CF'!$E$15</definedName>
    <definedName name="CF_OCF_H2_FY2030">'14_CF'!$F$15</definedName>
    <definedName name="CHK_BS_Balance_B">'13_BS'!$B$57</definedName>
    <definedName name="CHK_BS_Balance_C">'13_BS'!$C$57</definedName>
    <definedName name="CHK_BS_Balance_D">'13_BS'!$D$57</definedName>
    <definedName name="CHK_BS_Balance_E">'13_BS'!$E$57</definedName>
    <definedName name="CHK_BS_Balance_F">'13_BS'!$F$57</definedName>
    <definedName name="CHK_BS_BalanceTie_B">'13_BS'!$B$59</definedName>
    <definedName name="CHK_BS_BalanceTie_C">'13_BS'!$C$59</definedName>
    <definedName name="CHK_BS_BalanceTie_D">'13_BS'!$D$59</definedName>
    <definedName name="CHK_BS_BalanceTie_E">'13_BS'!$E$59</definedName>
    <definedName name="CHK_BS_BalanceTie_F">'13_BS'!$F$59</definedName>
    <definedName name="CHK_BS_CashRoll_B">'13_BS'!$B$58</definedName>
    <definedName name="CHK_BS_CashRoll_C">'13_BS'!$C$58</definedName>
    <definedName name="CHK_BS_CashRoll_D">'13_BS'!$D$58</definedName>
    <definedName name="CHK_BS_CashRoll_E">'13_BS'!$E$58</definedName>
    <definedName name="CHK_BS_CashRoll_F">'13_BS'!$F$58</definedName>
    <definedName name="CHK_CF_Chain_B">'14_CF'!$B$33</definedName>
    <definedName name="CHK_CF_Chain_C">'14_CF'!$C$33</definedName>
    <definedName name="CHK_CF_Chain_D">'14_CF'!$D$33</definedName>
    <definedName name="CHK_CF_Chain_E">'14_CF'!$E$33</definedName>
    <definedName name="CHK_CF_Foot_B">'14_CF'!$B$32</definedName>
    <definedName name="CHK_CF_Foot_C">'14_CF'!$C$32</definedName>
    <definedName name="CHK_CF_Foot_D">'14_CF'!$D$32</definedName>
    <definedName name="CHK_CF_Foot_E">'14_CF'!$E$32</definedName>
    <definedName name="CHK_CF_Foot_F">'14_CF'!$F$32</definedName>
    <definedName name="CHK_CF_H2Foot_B">'14_CF'!$B$34</definedName>
    <definedName name="CHK_DCF_CanonicalLeFinite">'15_DCF'!$B$93</definedName>
    <definedName name="CHK_DCF_DaysLive_B">'15_DCF'!$B$147</definedName>
    <definedName name="CHK_DCF_DaysLive_C">'15_DCF'!$C$147</definedName>
    <definedName name="CHK_DCF_DaysLive_D">'15_DCF'!$D$147</definedName>
    <definedName name="CHK_DCF_DaysLive_E">'15_DCF'!$E$147</definedName>
    <definedName name="CHK_DCF_DaysLive_F">'15_DCF'!$F$147</definedName>
    <definedName name="CHK_DCF_DaysLive_G">'15_DCF'!$G$147</definedName>
    <definedName name="CHK_DCF_DaysLive_H">'15_DCF'!$H$147</definedName>
    <definedName name="CHK_DCF_DaysLive_I">'15_DCF'!$I$147</definedName>
    <definedName name="CHK_DCF_DaysLive_J">'15_DCF'!$J$147</definedName>
    <definedName name="CHK_DCF_DaysLive_K">'15_DCF'!$K$147</definedName>
    <definedName name="CHK_DCF_Dilution">'15_DCF'!$B$173</definedName>
    <definedName name="CHK_DCF_DiscountFactor">'15_DCF'!$B$51</definedName>
    <definedName name="CHK_DCF_DiscountFactorLive_B">'15_DCF'!$B$145</definedName>
    <definedName name="CHK_DCF_DiscountFactorLive_C">'15_DCF'!$C$145</definedName>
    <definedName name="CHK_DCF_DiscountFactorLive_D">'15_DCF'!$D$145</definedName>
    <definedName name="CHK_DCF_DiscountFactorLive_E">'15_DCF'!$E$145</definedName>
    <definedName name="CHK_DCF_DiscountFactorLive_F">'15_DCF'!$F$145</definedName>
    <definedName name="CHK_DCF_DiscountFactorLive_G">'15_DCF'!$G$145</definedName>
    <definedName name="CHK_DCF_DiscountFactorLive_H">'15_DCF'!$H$145</definedName>
    <definedName name="CHK_DCF_DiscountFactorLive_I">'15_DCF'!$I$145</definedName>
    <definedName name="CHK_DCF_DiscountFactorLive_J">'15_DCF'!$J$145</definedName>
    <definedName name="CHK_DCF_DiscountFactorLive_K">'15_DCF'!$K$145</definedName>
    <definedName name="CHK_DCF_Divisor">'15_DCF'!$B$158</definedName>
    <definedName name="CHK_DCF_Dperm">'15_DCF'!$B$169</definedName>
    <definedName name="CHK_DCF_Equity">'15_DCF'!$B$157</definedName>
    <definedName name="CHK_DCF_EquityEng">'15_DCF'!$B$123</definedName>
    <definedName name="CHK_DCF_EquityFoot">'15_DCF'!$B$81</definedName>
    <definedName name="CHK_DCF_Ev">'15_DCF'!$B$154</definedName>
    <definedName name="CHK_DCF_EVEng">'15_DCF'!$B$116</definedName>
    <definedName name="CHK_DCF_FcffFull">'15_DCF'!$B$165</definedName>
    <definedName name="CHK_DCF_FcffLive_B">'15_DCF'!$B$144</definedName>
    <definedName name="CHK_DCF_FcffLive_C">'15_DCF'!$C$144</definedName>
    <definedName name="CHK_DCF_FcffLive_D">'15_DCF'!$D$144</definedName>
    <definedName name="CHK_DCF_FcffLive_E">'15_DCF'!$E$144</definedName>
    <definedName name="CHK_DCF_FcffLive_F">'15_DCF'!$F$144</definedName>
    <definedName name="CHK_DCF_FcffLive_G">'15_DCF'!$G$144</definedName>
    <definedName name="CHK_DCF_FcffLive_H">'15_DCF'!$H$144</definedName>
    <definedName name="CHK_DCF_FcffLive_I">'15_DCF'!$I$144</definedName>
    <definedName name="CHK_DCF_FcffLive_J">'15_DCF'!$J$144</definedName>
    <definedName name="CHK_DCF_FcffLive_K">'15_DCF'!$K$144</definedName>
    <definedName name="CHK_DCF_GLive">'15_DCF'!$B$162</definedName>
    <definedName name="CHK_DCF_NetCash">'15_DCF'!$B$156</definedName>
    <definedName name="CHK_DCF_NetCashBasis">'15_DCF'!$B$82</definedName>
    <definedName name="CHK_DCF_PsCanon">'15_DCF'!$B$170</definedName>
    <definedName name="CHK_DCF_PsFinite">'15_DCF'!$B$171</definedName>
    <definedName name="CHK_DCF_PsSpot">'15_DCF'!$B$172</definedName>
    <definedName name="CHK_DCF_PvEng_B">'15_DCF'!$B$106</definedName>
    <definedName name="CHK_DCF_PvEng_C">'15_DCF'!$C$106</definedName>
    <definedName name="CHK_DCF_PvEng_D">'15_DCF'!$D$106</definedName>
    <definedName name="CHK_DCF_PvEng_E">'15_DCF'!$E$106</definedName>
    <definedName name="CHK_DCF_PvEng_F">'15_DCF'!$F$106</definedName>
    <definedName name="CHK_DCF_PvEng_G">'15_DCF'!$G$106</definedName>
    <definedName name="CHK_DCF_PvEng_H">'15_DCF'!$H$106</definedName>
    <definedName name="CHK_DCF_PvEng_I">'15_DCF'!$I$106</definedName>
    <definedName name="CHK_DCF_PvEng_J">'15_DCF'!$J$106</definedName>
    <definedName name="CHK_DCF_PvEng_K">'15_DCF'!$K$106</definedName>
    <definedName name="CHK_DCF_PvFoot">'15_DCF'!$B$56</definedName>
    <definedName name="CHK_DCF_PvLive_B">'15_DCF'!$B$148</definedName>
    <definedName name="CHK_DCF_PvLive_C">'15_DCF'!$C$148</definedName>
    <definedName name="CHK_DCF_PvLive_D">'15_DCF'!$D$148</definedName>
    <definedName name="CHK_DCF_PvLive_E">'15_DCF'!$E$148</definedName>
    <definedName name="CHK_DCF_PvLive_F">'15_DCF'!$F$148</definedName>
    <definedName name="CHK_DCF_PvLive_G">'15_DCF'!$G$148</definedName>
    <definedName name="CHK_DCF_PvLive_H">'15_DCF'!$H$148</definedName>
    <definedName name="CHK_DCF_PvLive_I">'15_DCF'!$I$148</definedName>
    <definedName name="CHK_DCF_PvLive_J">'15_DCF'!$J$148</definedName>
    <definedName name="CHK_DCF_PvLive_K">'15_DCF'!$K$148</definedName>
    <definedName name="CHK_DCF_RolledCash">'15_DCF'!$B$155</definedName>
    <definedName name="CHK_DCF_Seam">'15_DCF'!$B$42</definedName>
    <definedName name="CHK_DCF_SeamDays">'15_DCF'!$B$23</definedName>
    <definedName name="CHK_DCF_Shares">'15_DCF'!$B$159</definedName>
    <definedName name="CHK_DCF_SpotDenominator">'15_DCF'!$B$160</definedName>
    <definedName name="CHK_DCF_SpotGtCanonical">'15_DCF'!$B$92</definedName>
    <definedName name="CHK_DCF_Stage1PV">'15_DCF'!$B$53</definedName>
    <definedName name="CHK_DCF_Stage2PV">'15_DCF'!$B$54</definedName>
    <definedName name="CHK_DCF_StageAdjacent">'15_DCF'!$B$11</definedName>
    <definedName name="CHK_DCF_StageSum">'15_DCF'!$B$57</definedName>
    <definedName name="CHK_DCF_TLive_B">'15_DCF'!$B$146</definedName>
    <definedName name="CHK_DCF_TLive_C">'15_DCF'!$C$146</definedName>
    <definedName name="CHK_DCF_TLive_D">'15_DCF'!$D$146</definedName>
    <definedName name="CHK_DCF_TLive_E">'15_DCF'!$E$146</definedName>
    <definedName name="CHK_DCF_TLive_F">'15_DCF'!$F$146</definedName>
    <definedName name="CHK_DCF_TLive_G">'15_DCF'!$G$146</definedName>
    <definedName name="CHK_DCF_TLive_H">'15_DCF'!$H$146</definedName>
    <definedName name="CHK_DCF_TLive_I">'15_DCF'!$I$146</definedName>
    <definedName name="CHK_DCF_TLive_J">'15_DCF'!$J$146</definedName>
    <definedName name="CHK_DCF_TLive_K">'15_DCF'!$K$146</definedName>
    <definedName name="CHK_DCF_WaccG">'15_DCF'!$B$28</definedName>
    <definedName name="CHK_DCF_WaccKe">'15_DCF'!$B$27</definedName>
    <definedName name="CHK_DCF_WaccLive">'15_DCF'!$B$161</definedName>
    <definedName name="CHK_DR_Foot_B">'06_Revenue_Bookings'!$B$48</definedName>
    <definedName name="CHK_DR_Foot_C">'06_Revenue_Bookings'!$C$48</definedName>
    <definedName name="CHK_DR_Foot_D">'06_Revenue_Bookings'!$D$48</definedName>
    <definedName name="CHK_DR_Foot_E">'06_Revenue_Bookings'!$E$48</definedName>
    <definedName name="CHK_DR_Foot_F">'06_Revenue_Bookings'!$F$48</definedName>
    <definedName name="CHK_EBIT_Bridge_B">'03_Historicals'!$B$122</definedName>
    <definedName name="CHK_EBIT_Bridge_C">'03_Historicals'!$C$122</definedName>
    <definedName name="CHK_EBIT_Bridge_D">'03_Historicals'!$D$122</definedName>
    <definedName name="CHK_EBIT_Bridge_E">'03_Historicals'!$E$122</definedName>
    <definedName name="CHK_EBIT_Bridge_F">'03_Historicals'!$F$122</definedName>
    <definedName name="CHK_EBIT_Bridge_G">'03_Historicals'!$G$122</definedName>
    <definedName name="CHK_H_BSBalance_B">'03_Historicals'!$B$125</definedName>
    <definedName name="CHK_H_BSBalance_C">'03_Historicals'!$C$125</definedName>
    <definedName name="CHK_H_BSBalance_D">'03_Historicals'!$D$125</definedName>
    <definedName name="CHK_H_BSBalance_E">'03_Historicals'!$E$125</definedName>
    <definedName name="CHK_H_BSBalance_F">'03_Historicals'!$F$125</definedName>
    <definedName name="CHK_H_CashRoll_B">'03_Historicals'!$B$126</definedName>
    <definedName name="CHK_H_CashRoll_C">'03_Historicals'!$C$126</definedName>
    <definedName name="CHK_H_CashRoll_D">'03_Historicals'!$D$126</definedName>
    <definedName name="CHK_H_CashRoll_E">'03_Historicals'!$E$126</definedName>
    <definedName name="CHK_H_CashRoll_F">'03_Historicals'!$F$126</definedName>
    <definedName name="CHK_H5_Divisor">'15_DCF'!$B$98</definedName>
    <definedName name="CHK_H5_Divisor_Eng">'15_DCF'!$B$139</definedName>
    <definedName name="CHK_IS_InterestSolve">'12_IS'!$B$53</definedName>
    <definedName name="CHK_IS_Seam">'12_IS'!$B$56</definedName>
    <definedName name="CHK_Shares_FD">'10_SBC_Shares'!$B$12</definedName>
    <definedName name="CHK_Shares_FD_Eng">'15_DCF'!$B$124</definedName>
    <definedName name="COGS_FY2026">'07_Costs_Opex'!$B$13</definedName>
    <definedName name="COGS_FY2027">'07_Costs_Opex'!$C$13</definedName>
    <definedName name="COGS_FY2028">'07_Costs_Opex'!$D$13</definedName>
    <definedName name="COGS_FY2029">'07_Costs_Opex'!$E$13</definedName>
    <definedName name="COGS_FY2030">'07_Costs_Opex'!$F$13</definedName>
    <definedName name="Control_Scenario">'01_Control'!$B$7</definedName>
    <definedName name="Cover_MarketPrice">'00_Cover'!$B$14</definedName>
    <definedName name="Cover_NetCash">'00_Cover'!$B$15</definedName>
    <definedName name="Cover_SharesDiluted">'00_Cover'!$B$13</definedName>
    <definedName name="Cover_TerminalGrowth">'00_Cover'!$B$12</definedName>
    <definedName name="Cover_WACC">'00_Cover'!$B$11</definedName>
    <definedName name="DCF_EquityValue">'15_DCF'!$B$80</definedName>
    <definedName name="DCF_EV">'15_DCF'!$B$72</definedName>
    <definedName name="DCF_FCFF_FY2026">'15_DCF'!$B$49</definedName>
    <definedName name="DCF_FCFF_FY2027">'15_DCF'!$C$49</definedName>
    <definedName name="DCF_FCFF_FY2028">'15_DCF'!$D$49</definedName>
    <definedName name="DCF_FCFF_FY2029">'15_DCF'!$E$49</definedName>
    <definedName name="DCF_FCFF_FY2030">'15_DCF'!$F$49</definedName>
    <definedName name="DCF_FCFF_FY2031">'15_DCF'!$G$49</definedName>
    <definedName name="DCF_FCFF_FY2032">'15_DCF'!$H$49</definedName>
    <definedName name="DCF_FCFF_FY2033">'15_DCF'!$I$49</definedName>
    <definedName name="DCF_FCFF_FY2034">'15_DCF'!$J$49</definedName>
    <definedName name="DCF_FCFF_FY2035">'15_DCF'!$K$49</definedName>
    <definedName name="DCF_NetCash">'15_DCF'!$B$79</definedName>
    <definedName name="DCF_PerShareCanonical">'15_DCF'!$B$88</definedName>
    <definedName name="DCF_PerShareFinite">'15_DCF'!$B$89</definedName>
    <definedName name="DCF_PerShareSpot">'15_DCF'!$B$90</definedName>
    <definedName name="DCF_PvExplicit">'15_DCF'!$B$55</definedName>
    <definedName name="DCF_PvTerminal">'15_DCF'!$B$68</definedName>
    <definedName name="DCF_T_FY2026">'15_DCF'!$B$46</definedName>
    <definedName name="DCF_T_FY2027">'15_DCF'!$C$46</definedName>
    <definedName name="DCF_T_FY2028">'15_DCF'!$D$46</definedName>
    <definedName name="DCF_T_FY2029">'15_DCF'!$E$46</definedName>
    <definedName name="DCF_T_FY2030">'15_DCF'!$F$46</definedName>
    <definedName name="DCF_T_FY2031">'15_DCF'!$G$46</definedName>
    <definedName name="DCF_T_FY2032">'15_DCF'!$H$46</definedName>
    <definedName name="DCF_T_FY2033">'15_DCF'!$I$46</definedName>
    <definedName name="DCF_T_FY2034">'15_DCF'!$J$46</definedName>
    <definedName name="DCF_T_FY2035">'15_DCF'!$K$46</definedName>
    <definedName name="DCF_TerminalValue">'15_DCF'!$B$66</definedName>
    <definedName name="DCF_TminusHalf_FY2026">'15_DCF'!$B$47</definedName>
    <definedName name="DeferredCost_FY2026">'08_Working_Capital'!$B$6</definedName>
    <definedName name="DeferredCost_FY2027">'08_Working_Capital'!$C$6</definedName>
    <definedName name="DeferredCost_FY2028">'08_Working_Capital'!$D$6</definedName>
    <definedName name="DeferredCost_FY2029">'08_Working_Capital'!$E$6</definedName>
    <definedName name="DeferredCost_FY2030">'08_Working_Capital'!$F$6</definedName>
    <definedName name="DepBasis_FY2026">'09_Capex_DA'!$B$28</definedName>
    <definedName name="DepBasis_FY2027">'09_Capex_DA'!$C$28</definedName>
    <definedName name="DepBasis_FY2028">'09_Capex_DA'!$D$28</definedName>
    <definedName name="DepBasis_FY2029">'09_Capex_DA'!$E$28</definedName>
    <definedName name="DepBasis_FY2030">'09_Capex_DA'!$F$28</definedName>
    <definedName name="DR_EOP_FY2026">'06_Revenue_Bookings'!$B$46</definedName>
    <definedName name="DR_EOP_FY2027">'06_Revenue_Bookings'!$C$46</definedName>
    <definedName name="DR_EOP_FY2028">'06_Revenue_Bookings'!$D$46</definedName>
    <definedName name="DR_EOP_FY2029">'06_Revenue_Bookings'!$E$46</definedName>
    <definedName name="DR_EOP_FY2030">'06_Revenue_Bookings'!$F$46</definedName>
    <definedName name="EBIT_Cited_B">'03_Historicals'!$B$120</definedName>
    <definedName name="EBIT_Cited_C">'03_Historicals'!$C$120</definedName>
    <definedName name="EBIT_Cited_D">'03_Historicals'!$D$120</definedName>
    <definedName name="EBIT_Cited_E">'03_Historicals'!$E$120</definedName>
    <definedName name="EBIT_Cited_F">'03_Historicals'!$F$120</definedName>
    <definedName name="EBIT_Cited_G">'03_Historicals'!$G$120</definedName>
    <definedName name="EBIT_FY2026">'12_IS'!$B$15</definedName>
    <definedName name="EBIT_FY2027">'12_IS'!$C$15</definedName>
    <definedName name="EBIT_FY2028">'12_IS'!$D$15</definedName>
    <definedName name="EBIT_FY2029">'12_IS'!$E$15</definedName>
    <definedName name="EBIT_FY2030">'12_IS'!$F$15</definedName>
    <definedName name="EBIT_Residual_B">'03_Historicals'!$B$121</definedName>
    <definedName name="EBIT_Residual_C">'03_Historicals'!$C$121</definedName>
    <definedName name="EBIT_Residual_D">'03_Historicals'!$D$121</definedName>
    <definedName name="EBIT_Residual_E">'03_Historicals'!$E$121</definedName>
    <definedName name="EBIT_Residual_F">'03_Historicals'!$F$121</definedName>
    <definedName name="EBIT_Residual_G">'03_Historicals'!$G$121</definedName>
    <definedName name="EBIT_Subtotal_B">'03_Historicals'!$B$119</definedName>
    <definedName name="EBIT_Subtotal_C">'03_Historicals'!$C$119</definedName>
    <definedName name="EBIT_Subtotal_D">'03_Historicals'!$D$119</definedName>
    <definedName name="EBIT_Subtotal_E">'03_Historicals'!$E$119</definedName>
    <definedName name="EBIT_Subtotal_F">'03_Historicals'!$F$119</definedName>
    <definedName name="EBIT_Subtotal_G">'03_Historicals'!$G$119</definedName>
    <definedName name="EBIT07_FY2026">'07_Costs_Opex'!$B$20</definedName>
    <definedName name="EBIT07_FY2027">'07_Costs_Opex'!$C$20</definedName>
    <definedName name="EBIT07_FY2028">'07_Costs_Opex'!$D$20</definedName>
    <definedName name="EBIT07_FY2029">'07_Costs_Opex'!$E$20</definedName>
    <definedName name="EBIT07_FY2030">'07_Costs_Opex'!$F$20</definedName>
    <definedName name="EBITH2_FY2026">'12_IS'!$B$35</definedName>
    <definedName name="GnA_FY2026">'07_Costs_Opex'!$B$18</definedName>
    <definedName name="GnA_FY2027">'07_Costs_Opex'!$C$18</definedName>
    <definedName name="GnA_FY2028">'07_Costs_Opex'!$D$18</definedName>
    <definedName name="GnA_FY2029">'07_Costs_Opex'!$E$18</definedName>
    <definedName name="GnA_FY2030">'07_Costs_Opex'!$F$18</definedName>
    <definedName name="H1COGS_FY2026">'07_Costs_Opex'!$B$6</definedName>
    <definedName name="H1GnA_FY2026">'07_Costs_Opex'!$B$9</definedName>
    <definedName name="H1Other_FY2026">'07_Costs_Opex'!$B$10</definedName>
    <definedName name="H1Revenue_FY2026">'07_Costs_Opex'!$B$11</definedName>
    <definedName name="H1RnD_FY2026">'07_Costs_Opex'!$B$7</definedName>
    <definedName name="H1SnM_FY2026">'07_Costs_Opex'!$B$8</definedName>
    <definedName name="HST_Revenue_B">'03_Historicals'!$B$11</definedName>
    <definedName name="HST_Revenue_C">'03_Historicals'!$C$11</definedName>
    <definedName name="HST_Revenue_D">'03_Historicals'!$D$11</definedName>
    <definedName name="HST_Revenue_E">'03_Historicals'!$E$11</definedName>
    <definedName name="HST_Revenue_F">'03_Historicals'!$F$11</definedName>
    <definedName name="HST_Revenue_G">'03_Historicals'!$G$11</definedName>
    <definedName name="IntangNet_FY2026">'09_Capex_DA'!$B$21</definedName>
    <definedName name="IntangNet_FY2027">'09_Capex_DA'!$C$21</definedName>
    <definedName name="IntangNet_FY2028">'09_Capex_DA'!$D$21</definedName>
    <definedName name="IntangNet_FY2029">'09_Capex_DA'!$E$21</definedName>
    <definedName name="IntangNet_FY2030">'09_Capex_DA'!$F$21</definedName>
    <definedName name="IS_AvgInvested_FY2026">'12_IS'!$B$47</definedName>
    <definedName name="IS_AvgInvested_FY2027">'12_IS'!$C$47</definedName>
    <definedName name="IS_AvgInvested_FY2028">'12_IS'!$D$47</definedName>
    <definedName name="IS_AvgInvested_FY2029">'12_IS'!$E$47</definedName>
    <definedName name="IS_AvgInvested_FY2030">'12_IS'!$F$47</definedName>
    <definedName name="IS_Interest_H1_FY2026">'12_IS'!$B$50</definedName>
    <definedName name="IS_InterestSolve_FY2026">'12_IS'!$B$54</definedName>
    <definedName name="IS_InterestSolve_FY2027">'12_IS'!$C$54</definedName>
    <definedName name="IS_InterestSolve_FY2028">'12_IS'!$D$54</definedName>
    <definedName name="IS_InterestSolve_FY2029">'12_IS'!$E$54</definedName>
    <definedName name="IS_InterestSolve_FY2030">'12_IS'!$F$54</definedName>
    <definedName name="IS_InterestSolved_FY2026">'12_IS'!$B$49</definedName>
    <definedName name="IS_InterestSolved_FY2027">'12_IS'!$C$49</definedName>
    <definedName name="IS_InterestSolved_FY2028">'12_IS'!$D$49</definedName>
    <definedName name="IS_InterestSolved_FY2029">'12_IS'!$E$49</definedName>
    <definedName name="IS_InterestSolved_FY2030">'12_IS'!$F$49</definedName>
    <definedName name="IS_NI_H1_Cited">'12_IS'!$B$51</definedName>
    <definedName name="IS_NI_H1_H2Note">'12_IS'!$B$51</definedName>
    <definedName name="IS_Revenue_FY2026">'12_IS'!$B$6</definedName>
    <definedName name="IS_Revenue_FY2027">'12_IS'!$C$6</definedName>
    <definedName name="IS_Revenue_FY2028">'12_IS'!$D$6</definedName>
    <definedName name="IS_Revenue_FY2029">'12_IS'!$E$6</definedName>
    <definedName name="IS_Revenue_FY2030">'12_IS'!$F$6</definedName>
    <definedName name="NetIncome_FY2026">'12_IS'!$B$21</definedName>
    <definedName name="NetIncome_FY2027">'12_IS'!$C$21</definedName>
    <definedName name="NetIncome_FY2028">'12_IS'!$D$21</definedName>
    <definedName name="NetIncome_FY2029">'12_IS'!$E$21</definedName>
    <definedName name="NetIncome_FY2030">'12_IS'!$F$21</definedName>
    <definedName name="NWC_FY2026">'08_Working_Capital'!$B$17</definedName>
    <definedName name="NWC_FY2027">'08_Working_Capital'!$C$17</definedName>
    <definedName name="NWC_FY2028">'08_Working_Capital'!$D$17</definedName>
    <definedName name="NWC_FY2029">'08_Working_Capital'!$E$17</definedName>
    <definedName name="NWC_FY2030">'08_Working_Capital'!$F$17</definedName>
    <definedName name="NWC_Opening_Q2FY26">'08_Working_Capital'!$B$22</definedName>
    <definedName name="NWC_Production_FY2026">'08_Working_Capital'!$B$17</definedName>
    <definedName name="NWC_SupersededBasis_FY2026">'08_Working_Capital'!$B$29</definedName>
    <definedName name="OpexTotal_FY2026">'07_Costs_Opex'!$B$19</definedName>
    <definedName name="OpexTotal_FY2027">'07_Costs_Opex'!$C$19</definedName>
    <definedName name="OpexTotal_FY2028">'07_Costs_Opex'!$D$19</definedName>
    <definedName name="OpexTotal_FY2029">'07_Costs_Opex'!$E$19</definedName>
    <definedName name="OpexTotal_FY2030">'07_Costs_Opex'!$F$19</definedName>
    <definedName name="OpSens_Dil_Base">'16_Scenarios_Sens'!$C$61</definedName>
    <definedName name="OpSens_Dil_DeltaHigh">'16_Scenarios_Sens'!$D$65</definedName>
    <definedName name="OpSens_Dil_DeltaLow">'16_Scenarios_Sens'!$B$65</definedName>
    <definedName name="OpSens_Dil_Down">'16_Scenarios_Sens'!$B$61</definedName>
    <definedName name="OpSens_Dil_Up">'16_Scenarios_Sens'!$D$61</definedName>
    <definedName name="OpSens_Margin_Base">'16_Scenarios_Sens'!$C$59</definedName>
    <definedName name="OpSens_Margin_DeltaHigh">'16_Scenarios_Sens'!$D$63</definedName>
    <definedName name="OpSens_Margin_DeltaLow">'16_Scenarios_Sens'!$B$63</definedName>
    <definedName name="OpSens_Margin_Down">'16_Scenarios_Sens'!$B$59</definedName>
    <definedName name="OpSens_Margin_Up">'16_Scenarios_Sens'!$D$59</definedName>
    <definedName name="OpSens_Rev_Base">'16_Scenarios_Sens'!$C$58</definedName>
    <definedName name="OpSens_Rev_DeltaHigh">'16_Scenarios_Sens'!$D$62</definedName>
    <definedName name="OpSens_Rev_DeltaLow">'16_Scenarios_Sens'!$B$62</definedName>
    <definedName name="OpSens_Rev_Down">'16_Scenarios_Sens'!$B$58</definedName>
    <definedName name="OpSens_Rev_Up">'16_Scenarios_Sens'!$D$58</definedName>
    <definedName name="OpSens_SBC_Base">'16_Scenarios_Sens'!$C$60</definedName>
    <definedName name="OpSens_SBC_DeltaHigh">'16_Scenarios_Sens'!$D$64</definedName>
    <definedName name="OpSens_SBC_DeltaLow">'16_Scenarios_Sens'!$B$64</definedName>
    <definedName name="OpSens_SBC_Down">'16_Scenarios_Sens'!$B$60</definedName>
    <definedName name="OpSens_SBC_Up">'16_Scenarios_Sens'!$D$60</definedName>
    <definedName name="OptionBasis_FY2026">'10_SBC_Shares'!$B$19</definedName>
    <definedName name="OptionBasis_FY2027">'10_SBC_Shares'!$C$19</definedName>
    <definedName name="OptionBasis_FY2028">'10_SBC_Shares'!$D$19</definedName>
    <definedName name="OptionBasis_FY2029">'10_SBC_Shares'!$E$19</definedName>
    <definedName name="OptionBasis_FY2030">'10_SBC_Shares'!$F$19</definedName>
    <definedName name="OtherIncNet_FY2026">'07_Costs_Opex'!$B$21</definedName>
    <definedName name="OtherIncNet_FY2027">'07_Costs_Opex'!$C$21</definedName>
    <definedName name="OtherIncNet_FY2028">'07_Costs_Opex'!$D$21</definedName>
    <definedName name="OtherIncNet_FY2029">'07_Costs_Opex'!$E$21</definedName>
    <definedName name="OtherIncNet_FY2030">'07_Costs_Opex'!$F$21</definedName>
    <definedName name="PF1_Recon_Difference_FY2026">'08_Working_Capital'!$B$30</definedName>
    <definedName name="PPEnet_FY2026">'09_Capex_DA'!$B$17</definedName>
    <definedName name="PPEnet_FY2027">'09_Capex_DA'!$C$17</definedName>
    <definedName name="PPEnet_FY2028">'09_Capex_DA'!$D$17</definedName>
    <definedName name="PPEnet_FY2029">'09_Capex_DA'!$E$17</definedName>
    <definedName name="PPEnet_FY2030">'09_Capex_DA'!$F$17</definedName>
    <definedName name="Prepaid_FY2026">'08_Working_Capital'!$B$7</definedName>
    <definedName name="Prepaid_FY2027">'08_Working_Capital'!$C$7</definedName>
    <definedName name="Prepaid_FY2028">'08_Working_Capital'!$D$7</definedName>
    <definedName name="Prepaid_FY2029">'08_Working_Capital'!$E$7</definedName>
    <definedName name="Prepaid_FY2030">'08_Working_Capital'!$F$7</definedName>
    <definedName name="Pretax_FY2026">'12_IS'!$B$19</definedName>
    <definedName name="Pretax_FY2027">'12_IS'!$C$19</definedName>
    <definedName name="Pretax_FY2028">'12_IS'!$D$19</definedName>
    <definedName name="Pretax_FY2029">'12_IS'!$E$19</definedName>
    <definedName name="Pretax_FY2030">'12_IS'!$F$19</definedName>
    <definedName name="_xlnm.Print_Titles" localSheetId="0">'00_Cover'!$4:$4</definedName>
    <definedName name="_xlnm.Print_Titles" localSheetId="1">'01_Control'!$4:$4</definedName>
    <definedName name="_xlnm.Print_Titles" localSheetId="2">'02_Sources'!$5:$5</definedName>
    <definedName name="_xlnm.Print_Titles" localSheetId="3">'03_Historicals'!$4:$4</definedName>
    <definedName name="_xlnm.Print_Titles" localSheetId="4">'04_Assumptions'!$4:$4</definedName>
    <definedName name="_xlnm.Print_Titles" localSheetId="5">'05_User_Model'!$4:$4</definedName>
    <definedName name="_xlnm.Print_Titles" localSheetId="6">'06_Revenue_Bookings'!$4:$4</definedName>
    <definedName name="_xlnm.Print_Titles" localSheetId="7">'07_Costs_Opex'!$4:$4</definedName>
    <definedName name="_xlnm.Print_Titles" localSheetId="8">'08_Working_Capital'!$4:$4</definedName>
    <definedName name="_xlnm.Print_Titles" localSheetId="9">'09_Capex_DA'!$4:$4</definedName>
    <definedName name="_xlnm.Print_Titles" localSheetId="10">'10_SBC_Shares'!$4:$4</definedName>
    <definedName name="_xlnm.Print_Titles" localSheetId="11">'11_Taxes'!$4:$4</definedName>
    <definedName name="_xlnm.Print_Titles" localSheetId="12">'12_IS'!$4:$4</definedName>
    <definedName name="_xlnm.Print_Titles" localSheetId="13">'13_BS'!$4:$4</definedName>
    <definedName name="_xlnm.Print_Titles" localSheetId="14">'14_CF'!$4:$4</definedName>
    <definedName name="_xlnm.Print_Titles" localSheetId="15">'15_DCF'!$4:$4</definedName>
    <definedName name="_xlnm.Print_Titles" localSheetId="16">'16_Scenarios_Sens'!$4:$4</definedName>
    <definedName name="_xlnm.Print_Titles" localSheetId="17">'17_Checks'!$4:$4</definedName>
    <definedName name="_xlnm.Print_Titles" localSheetId="18">'18_Summary'!$4:$4</definedName>
    <definedName name="RevTotal_FY2026">'06_Revenue_Bookings'!$B$40</definedName>
    <definedName name="RevTotal_FY2027">'06_Revenue_Bookings'!$C$40</definedName>
    <definedName name="RevTotal_FY2028">'06_Revenue_Bookings'!$D$40</definedName>
    <definedName name="RevTotal_FY2029">'06_Revenue_Bookings'!$E$40</definedName>
    <definedName name="RevTotal_FY2030">'06_Revenue_Bookings'!$F$40</definedName>
    <definedName name="RnD_FY2026">'07_Costs_Opex'!$B$16</definedName>
    <definedName name="RnD_FY2027">'07_Costs_Opex'!$C$16</definedName>
    <definedName name="RnD_FY2028">'07_Costs_Opex'!$D$16</definedName>
    <definedName name="RnD_FY2029">'07_Costs_Opex'!$E$16</definedName>
    <definedName name="RnD_FY2030">'07_Costs_Opex'!$F$16</definedName>
    <definedName name="SBC_FY2026">'10_SBC_Shares'!$B$5</definedName>
    <definedName name="SBC_FY2027">'10_SBC_Shares'!$C$5</definedName>
    <definedName name="SBC_FY2028">'10_SBC_Shares'!$D$5</definedName>
    <definedName name="SBC_FY2029">'10_SBC_Shares'!$E$5</definedName>
    <definedName name="SBC_FY2030">'10_SBC_Shares'!$F$5</definedName>
    <definedName name="SBCBasis_FY2026">'10_SBC_Shares'!$B$18</definedName>
    <definedName name="SBCBasis_FY2027">'10_SBC_Shares'!$C$18</definedName>
    <definedName name="SBCBasis_FY2028">'10_SBC_Shares'!$D$18</definedName>
    <definedName name="SBCBasis_FY2029">'10_SBC_Shares'!$E$18</definedName>
    <definedName name="SBCBasis_FY2030">'10_SBC_Shares'!$F$18</definedName>
    <definedName name="Scen_Base_Canon">'16_Scenarios_Sens'!$C$20</definedName>
    <definedName name="Scen_Base_Equity">'16_Scenarios_Sens'!$C$19</definedName>
    <definedName name="Scen_Base_EV">'16_Scenarios_Sens'!$C$17</definedName>
    <definedName name="Scen_Base_Finite">'16_Scenarios_Sens'!$C$21</definedName>
    <definedName name="Scen_Base_G">'16_Scenarios_Sens'!$C$16</definedName>
    <definedName name="Scen_Base_NetCash">'16_Scenarios_Sens'!$C$18</definedName>
    <definedName name="Scen_Base_OpInc26">'16_Scenarios_Sens'!$C$24</definedName>
    <definedName name="Scen_Base_Rev26">'16_Scenarios_Sens'!$C$23</definedName>
    <definedName name="Scen_Base_Spot">'16_Scenarios_Sens'!$C$22</definedName>
    <definedName name="Scen_Base_WACC">'16_Scenarios_Sens'!$C$15</definedName>
    <definedName name="Scen_Bear_Canon">'16_Scenarios_Sens'!$B$20</definedName>
    <definedName name="Scen_Bear_Equity">'16_Scenarios_Sens'!$B$19</definedName>
    <definedName name="Scen_Bear_EV">'16_Scenarios_Sens'!$B$17</definedName>
    <definedName name="Scen_Bear_Finite">'16_Scenarios_Sens'!$B$21</definedName>
    <definedName name="Scen_Bear_G">'16_Scenarios_Sens'!$B$16</definedName>
    <definedName name="Scen_Bear_NetCash">'16_Scenarios_Sens'!$B$18</definedName>
    <definedName name="Scen_Bear_OpInc26">'16_Scenarios_Sens'!$B$24</definedName>
    <definedName name="Scen_Bear_Rev26">'16_Scenarios_Sens'!$B$23</definedName>
    <definedName name="Scen_Bear_Spot">'16_Scenarios_Sens'!$B$22</definedName>
    <definedName name="Scen_Bear_WACC">'16_Scenarios_Sens'!$B$15</definedName>
    <definedName name="Scen_Bull_Canon">'16_Scenarios_Sens'!$D$20</definedName>
    <definedName name="Scen_Bull_Equity">'16_Scenarios_Sens'!$D$19</definedName>
    <definedName name="Scen_Bull_EV">'16_Scenarios_Sens'!$D$17</definedName>
    <definedName name="Scen_Bull_Finite">'16_Scenarios_Sens'!$D$21</definedName>
    <definedName name="Scen_Bull_G">'16_Scenarios_Sens'!$D$16</definedName>
    <definedName name="Scen_Bull_NetCash">'16_Scenarios_Sens'!$D$18</definedName>
    <definedName name="Scen_Bull_OpInc26">'16_Scenarios_Sens'!$D$24</definedName>
    <definedName name="Scen_Bull_Rev26">'16_Scenarios_Sens'!$D$23</definedName>
    <definedName name="Scen_Bull_Spot">'16_Scenarios_Sens'!$D$22</definedName>
    <definedName name="Scen_Bull_WACC">'16_Scenarios_Sens'!$D$15</definedName>
    <definedName name="Sens_Center">'16_Scenarios_Sens'!$F$39</definedName>
    <definedName name="Sens_G_1">'16_Scenarios_Sens'!$C$34</definedName>
    <definedName name="Sens_G_2">'16_Scenarios_Sens'!$D$34</definedName>
    <definedName name="Sens_G_3">'16_Scenarios_Sens'!$E$34</definedName>
    <definedName name="Sens_G_4">'16_Scenarios_Sens'!$F$34</definedName>
    <definedName name="Sens_G_5">'16_Scenarios_Sens'!$G$34</definedName>
    <definedName name="Sens_G_Base">'16_Scenarios_Sens'!$B$10</definedName>
    <definedName name="Sens_G_Headline">'16_Scenarios_Sens'!$B$10</definedName>
    <definedName name="Sens_Grid_R1C1">'16_Scenarios_Sens'!$C$35</definedName>
    <definedName name="Sens_Grid_R1C2">'16_Scenarios_Sens'!$D$35</definedName>
    <definedName name="Sens_Grid_R1C3">'16_Scenarios_Sens'!$E$35</definedName>
    <definedName name="Sens_Grid_R1C4">'16_Scenarios_Sens'!$F$35</definedName>
    <definedName name="Sens_Grid_R1C5">'16_Scenarios_Sens'!$G$35</definedName>
    <definedName name="Sens_Grid_R2C1">'16_Scenarios_Sens'!$C$36</definedName>
    <definedName name="Sens_Grid_R2C2">'16_Scenarios_Sens'!$D$36</definedName>
    <definedName name="Sens_Grid_R2C3">'16_Scenarios_Sens'!$E$36</definedName>
    <definedName name="Sens_Grid_R2C4">'16_Scenarios_Sens'!$F$36</definedName>
    <definedName name="Sens_Grid_R2C5">'16_Scenarios_Sens'!$G$36</definedName>
    <definedName name="Sens_Grid_R3C1">'16_Scenarios_Sens'!$C$37</definedName>
    <definedName name="Sens_Grid_R3C2">'16_Scenarios_Sens'!$D$37</definedName>
    <definedName name="Sens_Grid_R3C3">'16_Scenarios_Sens'!$E$37</definedName>
    <definedName name="Sens_Grid_R3C4">'16_Scenarios_Sens'!$F$37</definedName>
    <definedName name="Sens_Grid_R3C5">'16_Scenarios_Sens'!$G$37</definedName>
    <definedName name="Sens_Grid_R4C1">'16_Scenarios_Sens'!$C$38</definedName>
    <definedName name="Sens_Grid_R4C2">'16_Scenarios_Sens'!$D$38</definedName>
    <definedName name="Sens_Grid_R4C3">'16_Scenarios_Sens'!$E$38</definedName>
    <definedName name="Sens_Grid_R4C4">'16_Scenarios_Sens'!$F$38</definedName>
    <definedName name="Sens_Grid_R4C5">'16_Scenarios_Sens'!$G$38</definedName>
    <definedName name="Sens_Grid_R5C1">'16_Scenarios_Sens'!$C$39</definedName>
    <definedName name="Sens_Grid_R5C2">'16_Scenarios_Sens'!$D$39</definedName>
    <definedName name="Sens_Grid_R5C3">'16_Scenarios_Sens'!$E$39</definedName>
    <definedName name="Sens_Grid_R5C5">'16_Scenarios_Sens'!$G$39</definedName>
    <definedName name="Sens_Grid_R6C1">'16_Scenarios_Sens'!$C$40</definedName>
    <definedName name="Sens_Grid_R6C2">'16_Scenarios_Sens'!$D$40</definedName>
    <definedName name="Sens_Grid_R6C3">'16_Scenarios_Sens'!$E$40</definedName>
    <definedName name="Sens_Grid_R6C4">'16_Scenarios_Sens'!$F$40</definedName>
    <definedName name="Sens_Grid_R6C5">'16_Scenarios_Sens'!$G$40</definedName>
    <definedName name="Sens_Grid_R7C1">'16_Scenarios_Sens'!$C$41</definedName>
    <definedName name="Sens_Grid_R7C2">'16_Scenarios_Sens'!$D$41</definedName>
    <definedName name="Sens_Grid_R7C3">'16_Scenarios_Sens'!$E$41</definedName>
    <definedName name="Sens_Grid_R7C4">'16_Scenarios_Sens'!$F$41</definedName>
    <definedName name="Sens_Grid_R7C5">'16_Scenarios_Sens'!$G$41</definedName>
    <definedName name="Sens_Grid_R8C1">'16_Scenarios_Sens'!$C$42</definedName>
    <definedName name="Sens_Grid_R8C2">'16_Scenarios_Sens'!$D$42</definedName>
    <definedName name="Sens_Grid_R8C3">'16_Scenarios_Sens'!$E$42</definedName>
    <definedName name="Sens_Grid_R8C4">'16_Scenarios_Sens'!$F$42</definedName>
    <definedName name="Sens_Grid_R8C5">'16_Scenarios_Sens'!$G$42</definedName>
    <definedName name="Sens_Grid_R9C1">'16_Scenarios_Sens'!$C$43</definedName>
    <definedName name="Sens_Grid_R9C2">'16_Scenarios_Sens'!$D$43</definedName>
    <definedName name="Sens_Grid_R9C3">'16_Scenarios_Sens'!$E$43</definedName>
    <definedName name="Sens_Grid_R9C4">'16_Scenarios_Sens'!$F$43</definedName>
    <definedName name="Sens_Grid_R9C5">'16_Scenarios_Sens'!$G$43</definedName>
    <definedName name="Sens_Headline_Canonical">'16_Scenarios_Sens'!$B$11</definedName>
    <definedName name="Sens_WACC_1">'16_Scenarios_Sens'!$B$35</definedName>
    <definedName name="Sens_WACC_2">'16_Scenarios_Sens'!$B$36</definedName>
    <definedName name="Sens_WACC_3">'16_Scenarios_Sens'!$B$37</definedName>
    <definedName name="Sens_WACC_4">'16_Scenarios_Sens'!$B$38</definedName>
    <definedName name="Sens_WACC_5">'16_Scenarios_Sens'!$B$39</definedName>
    <definedName name="Sens_WACC_6">'16_Scenarios_Sens'!$B$40</definedName>
    <definedName name="Sens_WACC_7">'16_Scenarios_Sens'!$B$41</definedName>
    <definedName name="Sens_WACC_8">'16_Scenarios_Sens'!$B$42</definedName>
    <definedName name="Sens_WACC_9">'16_Scenarios_Sens'!$B$43</definedName>
    <definedName name="Sens_WACC_Base">'16_Scenarios_Sens'!$B$9</definedName>
    <definedName name="Sens_WACC_Headline">'16_Scenarios_Sens'!$B$9</definedName>
    <definedName name="SettlementBasis_FY2026">'10_SBC_Shares'!$B$20</definedName>
    <definedName name="SettlementBasis_FY2027">'10_SBC_Shares'!$C$20</definedName>
    <definedName name="SettlementBasis_FY2028">'10_SBC_Shares'!$D$20</definedName>
    <definedName name="SettlementBasis_FY2029">'10_SBC_Shares'!$E$20</definedName>
    <definedName name="SettlementBasis_FY2030">'10_SBC_Shares'!$F$20</definedName>
    <definedName name="SnM_FY2026">'07_Costs_Opex'!$B$17</definedName>
    <definedName name="SnM_FY2027">'07_Costs_Opex'!$C$17</definedName>
    <definedName name="SnM_FY2028">'07_Costs_Opex'!$D$17</definedName>
    <definedName name="SnM_FY2029">'07_Costs_Opex'!$E$17</definedName>
    <definedName name="SnM_FY2030">'07_Costs_Opex'!$F$17</definedName>
    <definedName name="Stage1_First">'04_Assumptions'!$B$58</definedName>
    <definedName name="Stage1_Label">'04_Assumptions'!$B$57</definedName>
    <definedName name="Stage1_Last">'04_Assumptions'!$B$59</definedName>
    <definedName name="Stage1_Last_Year">'04_Assumptions'!$B$60</definedName>
    <definedName name="Stage2_First">'04_Assumptions'!$B$62</definedName>
    <definedName name="Stage2_First_Year">'04_Assumptions'!$B$64</definedName>
    <definedName name="Stage2_Label">'04_Assumptions'!$B$61</definedName>
    <definedName name="Stage2_Last">'04_Assumptions'!$B$63</definedName>
    <definedName name="Stage3_Label">'04_Assumptions'!$B$65</definedName>
    <definedName name="SUM18_EbitMargin_FY2026">'18_Summary'!$B$11</definedName>
    <definedName name="SUM18_EbitMargin_FY2027">'18_Summary'!$C$11</definedName>
    <definedName name="SUM18_EbitMargin_FY2028">'18_Summary'!$D$11</definedName>
    <definedName name="SUM18_EbitMargin_FY2029">'18_Summary'!$E$11</definedName>
    <definedName name="SUM18_EbitMargin_FY2030">'18_Summary'!$F$11</definedName>
    <definedName name="SUM18_GrossMargin_FY2026">'18_Summary'!$B$9</definedName>
    <definedName name="SUM18_GrossMargin_FY2027">'18_Summary'!$C$9</definedName>
    <definedName name="SUM18_GrossMargin_FY2028">'18_Summary'!$D$9</definedName>
    <definedName name="SUM18_GrossMargin_FY2029">'18_Summary'!$E$9</definedName>
    <definedName name="SUM18_GrossMargin_FY2030">'18_Summary'!$F$9</definedName>
    <definedName name="SUM18_GrossProfit_FY2026">'18_Summary'!$B$8</definedName>
    <definedName name="SUM18_GrossProfit_FY2027">'18_Summary'!$C$8</definedName>
    <definedName name="SUM18_GrossProfit_FY2028">'18_Summary'!$D$8</definedName>
    <definedName name="SUM18_GrossProfit_FY2029">'18_Summary'!$E$8</definedName>
    <definedName name="SUM18_GrossProfit_FY2030">'18_Summary'!$F$8</definedName>
    <definedName name="SUM18_NetMargin_FY2026">'18_Summary'!$B$13</definedName>
    <definedName name="SUM18_NetMargin_FY2027">'18_Summary'!$C$13</definedName>
    <definedName name="SUM18_NetMargin_FY2028">'18_Summary'!$D$13</definedName>
    <definedName name="SUM18_NetMargin_FY2029">'18_Summary'!$E$13</definedName>
    <definedName name="SUM18_NetMargin_FY2030">'18_Summary'!$F$13</definedName>
    <definedName name="SUM18_RevGrowth_FY2027">'18_Summary'!$C$7</definedName>
    <definedName name="SUM18_RevGrowth_FY2028">'18_Summary'!$D$7</definedName>
    <definedName name="SUM18_RevGrowth_FY2029">'18_Summary'!$E$7</definedName>
    <definedName name="SUM18_RevGrowth_FY2030">'18_Summary'!$F$7</definedName>
    <definedName name="SUM18_Upside">'18_Summary'!$B$35</definedName>
    <definedName name="Tax_FY2026">'11_Taxes'!$B$10</definedName>
    <definedName name="Tax_FY2027">'11_Taxes'!$C$10</definedName>
    <definedName name="Tax_FY2028">'11_Taxes'!$D$10</definedName>
    <definedName name="Tax_FY2029">'11_Taxes'!$E$10</definedName>
    <definedName name="Tax_FY2030">'11_Taxes'!$F$10</definedName>
    <definedName name="TaxPayable_FY2026">'08_Working_Capital'!$B$14</definedName>
    <definedName name="TaxPayable_FY2027">'08_Working_Capital'!$C$14</definedName>
    <definedName name="TaxPayable_FY2028">'08_Working_Capital'!$D$14</definedName>
    <definedName name="TaxPayable_FY2029">'08_Working_Capital'!$E$14</definedName>
    <definedName name="TaxPayable_FY2030">'08_Working_Capital'!$F$14</definedName>
    <definedName name="TaxReceivable_FY2026">'08_Working_Capital'!$B$8</definedName>
    <definedName name="TaxReceivable_FY2027">'08_Working_Capital'!$C$8</definedName>
    <definedName name="TaxReceivable_FY2028">'08_Working_Capital'!$D$8</definedName>
    <definedName name="TaxReceivable_FY2029">'08_Working_Capital'!$E$8</definedName>
    <definedName name="TaxReceivable_FY2030">'08_Working_Capital'!$F$8</definedName>
    <definedName name="Tolerance_USD">'01_Control'!$B$13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9" l="1"/>
  <c r="B41" i="19"/>
  <c r="B40" i="19"/>
  <c r="B39" i="19"/>
  <c r="B38" i="19"/>
  <c r="B34" i="19"/>
  <c r="B29" i="19"/>
  <c r="B28" i="19"/>
  <c r="B27" i="19"/>
  <c r="B49" i="18"/>
  <c r="B43" i="18"/>
  <c r="B34" i="18"/>
  <c r="B31" i="18"/>
  <c r="B27" i="18"/>
  <c r="B25" i="18"/>
  <c r="B24" i="18"/>
  <c r="B77" i="17"/>
  <c r="B76" i="17"/>
  <c r="B75" i="17"/>
  <c r="B74" i="17"/>
  <c r="B73" i="17"/>
  <c r="B72" i="17"/>
  <c r="B71" i="17"/>
  <c r="B70" i="17"/>
  <c r="D65" i="17"/>
  <c r="B65" i="17"/>
  <c r="D64" i="17"/>
  <c r="B64" i="17"/>
  <c r="D63" i="17"/>
  <c r="B63" i="17"/>
  <c r="D62" i="17"/>
  <c r="B62" i="17"/>
  <c r="B54" i="17"/>
  <c r="B53" i="17"/>
  <c r="B52" i="17"/>
  <c r="B51" i="17"/>
  <c r="B48" i="17"/>
  <c r="B47" i="17"/>
  <c r="D31" i="17"/>
  <c r="C31" i="17"/>
  <c r="B31" i="17"/>
  <c r="D30" i="17"/>
  <c r="C30" i="17"/>
  <c r="B30" i="17"/>
  <c r="B29" i="17"/>
  <c r="B28" i="17"/>
  <c r="B27" i="17"/>
  <c r="B26" i="17"/>
  <c r="B10" i="17"/>
  <c r="B49" i="17" s="1"/>
  <c r="B9" i="17"/>
  <c r="B169" i="16"/>
  <c r="B164" i="16"/>
  <c r="B163" i="16"/>
  <c r="B162" i="16"/>
  <c r="B35" i="18" s="1"/>
  <c r="B161" i="16"/>
  <c r="B160" i="16"/>
  <c r="B159" i="16"/>
  <c r="B26" i="18" s="1"/>
  <c r="B155" i="16"/>
  <c r="K147" i="16"/>
  <c r="J147" i="16"/>
  <c r="I147" i="16"/>
  <c r="H147" i="16"/>
  <c r="G147" i="16"/>
  <c r="F147" i="16"/>
  <c r="E147" i="16"/>
  <c r="D147" i="16"/>
  <c r="C147" i="16"/>
  <c r="B147" i="16"/>
  <c r="K146" i="16"/>
  <c r="J146" i="16"/>
  <c r="I146" i="16"/>
  <c r="H146" i="16"/>
  <c r="F146" i="16"/>
  <c r="E146" i="16"/>
  <c r="B146" i="16"/>
  <c r="E145" i="16"/>
  <c r="D145" i="16"/>
  <c r="B86" i="16"/>
  <c r="B87" i="16" s="1"/>
  <c r="B158" i="16" s="1"/>
  <c r="B84" i="16"/>
  <c r="B79" i="16"/>
  <c r="B156" i="16" s="1"/>
  <c r="B44" i="18" s="1"/>
  <c r="B77" i="16"/>
  <c r="B76" i="16"/>
  <c r="B75" i="16"/>
  <c r="B73" i="16"/>
  <c r="B62" i="16"/>
  <c r="J51" i="16"/>
  <c r="E51" i="16"/>
  <c r="H50" i="16"/>
  <c r="H148" i="16" s="1"/>
  <c r="I49" i="16"/>
  <c r="I144" i="16" s="1"/>
  <c r="H49" i="16"/>
  <c r="H144" i="16" s="1"/>
  <c r="K48" i="16"/>
  <c r="K50" i="16" s="1"/>
  <c r="K148" i="16" s="1"/>
  <c r="H48" i="16"/>
  <c r="F48" i="16"/>
  <c r="F51" i="16" s="1"/>
  <c r="E48" i="16"/>
  <c r="D48" i="16"/>
  <c r="D51" i="16" s="1"/>
  <c r="B48" i="16"/>
  <c r="B145" i="16" s="1"/>
  <c r="I47" i="16"/>
  <c r="F47" i="16"/>
  <c r="E47" i="16"/>
  <c r="D47" i="16"/>
  <c r="C47" i="16"/>
  <c r="B47" i="16"/>
  <c r="K46" i="16"/>
  <c r="K47" i="16" s="1"/>
  <c r="J46" i="16"/>
  <c r="J47" i="16" s="1"/>
  <c r="I46" i="16"/>
  <c r="H46" i="16"/>
  <c r="H47" i="16" s="1"/>
  <c r="G46" i="16"/>
  <c r="F46" i="16"/>
  <c r="E46" i="16"/>
  <c r="D46" i="16"/>
  <c r="D146" i="16" s="1"/>
  <c r="C46" i="16"/>
  <c r="C146" i="16" s="1"/>
  <c r="B46" i="16"/>
  <c r="B38" i="16"/>
  <c r="B166" i="16" s="1"/>
  <c r="J36" i="16"/>
  <c r="J49" i="16" s="1"/>
  <c r="G36" i="16"/>
  <c r="G49" i="16" s="1"/>
  <c r="K35" i="16"/>
  <c r="K36" i="16" s="1"/>
  <c r="K49" i="16" s="1"/>
  <c r="K144" i="16" s="1"/>
  <c r="J35" i="16"/>
  <c r="I35" i="16"/>
  <c r="I36" i="16" s="1"/>
  <c r="H35" i="16"/>
  <c r="H36" i="16" s="1"/>
  <c r="G35" i="16"/>
  <c r="B27" i="16"/>
  <c r="B32" i="18" s="1"/>
  <c r="B26" i="16"/>
  <c r="B25" i="16"/>
  <c r="B24" i="16"/>
  <c r="J48" i="16" s="1"/>
  <c r="J145" i="16" s="1"/>
  <c r="B23" i="16"/>
  <c r="B30" i="18" s="1"/>
  <c r="B22" i="16"/>
  <c r="B21" i="16"/>
  <c r="B11" i="16"/>
  <c r="J10" i="16"/>
  <c r="H10" i="16"/>
  <c r="G10" i="16"/>
  <c r="D8" i="16"/>
  <c r="C8" i="16"/>
  <c r="B7" i="16"/>
  <c r="B12" i="16" s="1"/>
  <c r="K6" i="16"/>
  <c r="K10" i="16" s="1"/>
  <c r="J6" i="16"/>
  <c r="I6" i="16"/>
  <c r="I10" i="16" s="1"/>
  <c r="H6" i="16"/>
  <c r="G6" i="16"/>
  <c r="F6" i="16"/>
  <c r="F9" i="16" s="1"/>
  <c r="E6" i="16"/>
  <c r="E9" i="16" s="1"/>
  <c r="D6" i="16"/>
  <c r="C6" i="16"/>
  <c r="B6" i="16"/>
  <c r="B8" i="16" s="1"/>
  <c r="B34" i="14"/>
  <c r="B10" i="18" s="1"/>
  <c r="B30" i="14"/>
  <c r="D27" i="14"/>
  <c r="F25" i="14"/>
  <c r="B25" i="14"/>
  <c r="D24" i="14"/>
  <c r="F54" i="15"/>
  <c r="E54" i="15"/>
  <c r="D54" i="15"/>
  <c r="C54" i="15"/>
  <c r="B54" i="15"/>
  <c r="F51" i="15"/>
  <c r="E51" i="15"/>
  <c r="D51" i="15"/>
  <c r="C51" i="15"/>
  <c r="B51" i="15"/>
  <c r="F47" i="15"/>
  <c r="E47" i="15"/>
  <c r="E48" i="15" s="1"/>
  <c r="D47" i="15"/>
  <c r="C47" i="15"/>
  <c r="B47" i="15"/>
  <c r="B48" i="15" s="1"/>
  <c r="F46" i="15"/>
  <c r="F48" i="15" s="1"/>
  <c r="E46" i="15"/>
  <c r="D46" i="15"/>
  <c r="C46" i="15"/>
  <c r="C48" i="15" s="1"/>
  <c r="B46" i="15"/>
  <c r="F36" i="15"/>
  <c r="E36" i="15"/>
  <c r="D36" i="15"/>
  <c r="C36" i="15"/>
  <c r="B36" i="15"/>
  <c r="F35" i="15"/>
  <c r="E35" i="15"/>
  <c r="D35" i="15"/>
  <c r="C35" i="15"/>
  <c r="B35" i="15"/>
  <c r="F34" i="15"/>
  <c r="E34" i="15"/>
  <c r="D34" i="15"/>
  <c r="C34" i="15"/>
  <c r="B34" i="15"/>
  <c r="F33" i="15"/>
  <c r="E33" i="15"/>
  <c r="D33" i="15"/>
  <c r="C33" i="15"/>
  <c r="B33" i="15"/>
  <c r="F30" i="15"/>
  <c r="E30" i="15"/>
  <c r="D30" i="15"/>
  <c r="C30" i="15"/>
  <c r="B30" i="15"/>
  <c r="F29" i="15"/>
  <c r="E29" i="15"/>
  <c r="D29" i="15"/>
  <c r="C29" i="15"/>
  <c r="B29" i="15"/>
  <c r="F22" i="15"/>
  <c r="E22" i="15"/>
  <c r="D22" i="15"/>
  <c r="C22" i="15"/>
  <c r="B22" i="15"/>
  <c r="F48" i="13"/>
  <c r="E48" i="13"/>
  <c r="D48" i="13"/>
  <c r="C48" i="13"/>
  <c r="B48" i="13"/>
  <c r="D43" i="13"/>
  <c r="C43" i="13"/>
  <c r="B34" i="13"/>
  <c r="B46" i="13" s="1"/>
  <c r="E21" i="11"/>
  <c r="E25" i="14" s="1"/>
  <c r="D21" i="11"/>
  <c r="D25" i="14" s="1"/>
  <c r="F20" i="11"/>
  <c r="F24" i="14" s="1"/>
  <c r="D20" i="11"/>
  <c r="C20" i="11"/>
  <c r="C24" i="14" s="1"/>
  <c r="E19" i="11"/>
  <c r="C19" i="11"/>
  <c r="C23" i="14" s="1"/>
  <c r="C27" i="14" s="1"/>
  <c r="F12" i="11"/>
  <c r="E12" i="11"/>
  <c r="D12" i="11"/>
  <c r="C12" i="11"/>
  <c r="B12" i="11"/>
  <c r="B17" i="18" s="1"/>
  <c r="F10" i="11"/>
  <c r="E10" i="11"/>
  <c r="E20" i="11" s="1"/>
  <c r="E24" i="14" s="1"/>
  <c r="D10" i="11"/>
  <c r="C10" i="11"/>
  <c r="B10" i="11"/>
  <c r="B20" i="11" s="1"/>
  <c r="B24" i="14" s="1"/>
  <c r="F9" i="11"/>
  <c r="F19" i="11" s="1"/>
  <c r="E9" i="11"/>
  <c r="D9" i="11"/>
  <c r="D19" i="11" s="1"/>
  <c r="D23" i="14" s="1"/>
  <c r="C9" i="11"/>
  <c r="B9" i="11"/>
  <c r="B19" i="11" s="1"/>
  <c r="F8" i="11"/>
  <c r="F21" i="11" s="1"/>
  <c r="E8" i="11"/>
  <c r="D8" i="11"/>
  <c r="C8" i="11"/>
  <c r="C21" i="11" s="1"/>
  <c r="C25" i="14" s="1"/>
  <c r="B8" i="11"/>
  <c r="B21" i="11" s="1"/>
  <c r="C38" i="7"/>
  <c r="B38" i="7"/>
  <c r="C36" i="7"/>
  <c r="D36" i="7" s="1"/>
  <c r="B36" i="7"/>
  <c r="B29" i="7"/>
  <c r="B31" i="7" s="1"/>
  <c r="B22" i="7"/>
  <c r="B24" i="7" s="1"/>
  <c r="B15" i="7"/>
  <c r="B10" i="7"/>
  <c r="B8" i="7"/>
  <c r="C8" i="7" s="1"/>
  <c r="F19" i="6"/>
  <c r="E19" i="6"/>
  <c r="D19" i="6"/>
  <c r="C19" i="6"/>
  <c r="B19" i="6"/>
  <c r="F18" i="6"/>
  <c r="E18" i="6"/>
  <c r="D18" i="6"/>
  <c r="C18" i="6"/>
  <c r="B18" i="6"/>
  <c r="F17" i="6"/>
  <c r="E17" i="6"/>
  <c r="D17" i="6"/>
  <c r="C17" i="6"/>
  <c r="B17" i="6"/>
  <c r="F16" i="6"/>
  <c r="E16" i="6"/>
  <c r="D16" i="6"/>
  <c r="C16" i="6"/>
  <c r="B16" i="6"/>
  <c r="F13" i="6"/>
  <c r="E13" i="6"/>
  <c r="D13" i="6"/>
  <c r="C13" i="6"/>
  <c r="F10" i="6"/>
  <c r="E10" i="6"/>
  <c r="D10" i="6"/>
  <c r="C10" i="6"/>
  <c r="B10" i="6"/>
  <c r="F9" i="6"/>
  <c r="E9" i="6"/>
  <c r="D9" i="6"/>
  <c r="C9" i="6"/>
  <c r="B9" i="6"/>
  <c r="H126" i="4"/>
  <c r="F126" i="4"/>
  <c r="F56" i="18" s="1"/>
  <c r="E126" i="4"/>
  <c r="E56" i="18" s="1"/>
  <c r="D126" i="4"/>
  <c r="D56" i="18" s="1"/>
  <c r="C126" i="4"/>
  <c r="C56" i="18" s="1"/>
  <c r="B126" i="4"/>
  <c r="B56" i="18" s="1"/>
  <c r="K125" i="4"/>
  <c r="F125" i="4"/>
  <c r="F55" i="18" s="1"/>
  <c r="E125" i="4"/>
  <c r="E55" i="18" s="1"/>
  <c r="D125" i="4"/>
  <c r="D55" i="18" s="1"/>
  <c r="C125" i="4"/>
  <c r="C55" i="18" s="1"/>
  <c r="B125" i="4"/>
  <c r="B55" i="18" s="1"/>
  <c r="D122" i="4"/>
  <c r="D65" i="18" s="1"/>
  <c r="C122" i="4"/>
  <c r="C65" i="18" s="1"/>
  <c r="G121" i="4"/>
  <c r="G61" i="18" s="1"/>
  <c r="E121" i="4"/>
  <c r="D121" i="4"/>
  <c r="C121" i="4"/>
  <c r="G119" i="4"/>
  <c r="G122" i="4" s="1"/>
  <c r="G65" i="18" s="1"/>
  <c r="F119" i="4"/>
  <c r="E119" i="4"/>
  <c r="D119" i="4"/>
  <c r="C119" i="4"/>
  <c r="B119" i="4"/>
  <c r="B15" i="1"/>
  <c r="B82" i="16" s="1"/>
  <c r="B41" i="18" s="1"/>
  <c r="F23" i="14" l="1"/>
  <c r="F27" i="14" s="1"/>
  <c r="F43" i="13"/>
  <c r="D38" i="7"/>
  <c r="E36" i="7"/>
  <c r="D61" i="18"/>
  <c r="D63" i="18"/>
  <c r="D62" i="18"/>
  <c r="B17" i="7"/>
  <c r="C15" i="7"/>
  <c r="C29" i="7"/>
  <c r="E43" i="13"/>
  <c r="E23" i="14"/>
  <c r="E27" i="14" s="1"/>
  <c r="E62" i="18"/>
  <c r="E61" i="18"/>
  <c r="E63" i="18"/>
  <c r="B40" i="7"/>
  <c r="K145" i="16"/>
  <c r="K51" i="16"/>
  <c r="B67" i="16"/>
  <c r="B121" i="4"/>
  <c r="C62" i="18"/>
  <c r="C61" i="18"/>
  <c r="C63" i="18"/>
  <c r="G63" i="18"/>
  <c r="G62" i="18"/>
  <c r="G47" i="16"/>
  <c r="G48" i="16"/>
  <c r="G146" i="16"/>
  <c r="C48" i="16"/>
  <c r="C52" i="7"/>
  <c r="C45" i="7" s="1"/>
  <c r="C10" i="7"/>
  <c r="B43" i="13"/>
  <c r="B23" i="14"/>
  <c r="B26" i="14" s="1"/>
  <c r="B27" i="14" s="1"/>
  <c r="D8" i="7"/>
  <c r="G144" i="16"/>
  <c r="G52" i="18" s="1"/>
  <c r="C22" i="7"/>
  <c r="J144" i="16"/>
  <c r="J50" i="16"/>
  <c r="J148" i="16" s="1"/>
  <c r="E122" i="4"/>
  <c r="E65" i="18" s="1"/>
  <c r="H145" i="16"/>
  <c r="H51" i="16"/>
  <c r="B59" i="16"/>
  <c r="D48" i="15"/>
  <c r="F121" i="4"/>
  <c r="B63" i="16"/>
  <c r="B28" i="16"/>
  <c r="B33" i="18" s="1"/>
  <c r="B51" i="16"/>
  <c r="B36" i="18" s="1"/>
  <c r="B46" i="17"/>
  <c r="B45" i="17"/>
  <c r="B44" i="17"/>
  <c r="B52" i="7"/>
  <c r="B45" i="7" s="1"/>
  <c r="F145" i="16"/>
  <c r="B25" i="19"/>
  <c r="I48" i="16"/>
  <c r="C24" i="7" l="1"/>
  <c r="D22" i="7"/>
  <c r="G51" i="16"/>
  <c r="G145" i="16"/>
  <c r="F62" i="18"/>
  <c r="F63" i="18"/>
  <c r="F61" i="18"/>
  <c r="F122" i="4"/>
  <c r="F65" i="18" s="1"/>
  <c r="I51" i="16"/>
  <c r="I145" i="16"/>
  <c r="E38" i="7"/>
  <c r="F36" i="7"/>
  <c r="F38" i="7" s="1"/>
  <c r="C51" i="16"/>
  <c r="C145" i="16"/>
  <c r="B6" i="9"/>
  <c r="B24" i="15" s="1"/>
  <c r="B6" i="13"/>
  <c r="B21" i="8"/>
  <c r="B17" i="13" s="1"/>
  <c r="B36" i="13" s="1"/>
  <c r="B16" i="8"/>
  <c r="B5" i="10"/>
  <c r="B5" i="11"/>
  <c r="B13" i="9"/>
  <c r="B42" i="15" s="1"/>
  <c r="B8" i="9"/>
  <c r="B26" i="15" s="1"/>
  <c r="B13" i="8"/>
  <c r="B6" i="10"/>
  <c r="B27" i="10" s="1"/>
  <c r="B14" i="9"/>
  <c r="B43" i="15" s="1"/>
  <c r="B7" i="9"/>
  <c r="B25" i="15" s="1"/>
  <c r="B18" i="8"/>
  <c r="B13" i="13" s="1"/>
  <c r="B5" i="9"/>
  <c r="B10" i="10"/>
  <c r="B11" i="10"/>
  <c r="B29" i="10" s="1"/>
  <c r="B20" i="10" s="1"/>
  <c r="B17" i="8"/>
  <c r="B12" i="13" s="1"/>
  <c r="B46" i="7"/>
  <c r="D52" i="7"/>
  <c r="D45" i="7" s="1"/>
  <c r="D40" i="7"/>
  <c r="E8" i="7"/>
  <c r="D10" i="7"/>
  <c r="B62" i="18"/>
  <c r="B61" i="18"/>
  <c r="B63" i="18"/>
  <c r="D29" i="7"/>
  <c r="C31" i="7"/>
  <c r="G50" i="16"/>
  <c r="I50" i="16"/>
  <c r="I148" i="16" s="1"/>
  <c r="B64" i="16"/>
  <c r="B65" i="16" s="1"/>
  <c r="B66" i="16" s="1"/>
  <c r="C40" i="7"/>
  <c r="D15" i="7"/>
  <c r="C17" i="7"/>
  <c r="B122" i="4"/>
  <c r="B65" i="18" s="1"/>
  <c r="D10" i="10" l="1"/>
  <c r="D8" i="9"/>
  <c r="D26" i="15" s="1"/>
  <c r="D6" i="10"/>
  <c r="D27" i="10" s="1"/>
  <c r="D5" i="9"/>
  <c r="D13" i="9"/>
  <c r="D42" i="15" s="1"/>
  <c r="D18" i="8"/>
  <c r="D13" i="13" s="1"/>
  <c r="D6" i="9"/>
  <c r="D24" i="15" s="1"/>
  <c r="D5" i="11"/>
  <c r="D17" i="8"/>
  <c r="D12" i="13" s="1"/>
  <c r="D16" i="8"/>
  <c r="D7" i="9"/>
  <c r="D25" i="15" s="1"/>
  <c r="D14" i="9"/>
  <c r="D43" i="15" s="1"/>
  <c r="D6" i="13"/>
  <c r="D13" i="8"/>
  <c r="D11" i="10"/>
  <c r="D29" i="10" s="1"/>
  <c r="D20" i="10" s="1"/>
  <c r="D5" i="10"/>
  <c r="D46" i="7"/>
  <c r="D21" i="8"/>
  <c r="D17" i="13" s="1"/>
  <c r="D36" i="13" s="1"/>
  <c r="B19" i="10"/>
  <c r="B21" i="10" s="1"/>
  <c r="B19" i="14"/>
  <c r="B53" i="7"/>
  <c r="B49" i="7"/>
  <c r="B40" i="15"/>
  <c r="B11" i="9"/>
  <c r="C43" i="7"/>
  <c r="B51" i="7"/>
  <c r="B44" i="7" s="1"/>
  <c r="B47" i="7" s="1"/>
  <c r="B48" i="7" s="1"/>
  <c r="B14" i="18" s="1"/>
  <c r="B18" i="11"/>
  <c r="B23" i="8"/>
  <c r="B6" i="11"/>
  <c r="B7" i="10"/>
  <c r="B8" i="10" s="1"/>
  <c r="B26" i="10"/>
  <c r="B9" i="9"/>
  <c r="B23" i="15"/>
  <c r="B11" i="13"/>
  <c r="B14" i="13" s="1"/>
  <c r="B19" i="8"/>
  <c r="C5" i="11"/>
  <c r="C14" i="9"/>
  <c r="C43" i="15" s="1"/>
  <c r="C16" i="8"/>
  <c r="C6" i="10"/>
  <c r="C27" i="10" s="1"/>
  <c r="C5" i="9"/>
  <c r="C21" i="8"/>
  <c r="C17" i="13" s="1"/>
  <c r="C36" i="13" s="1"/>
  <c r="C13" i="9"/>
  <c r="C42" i="15" s="1"/>
  <c r="C6" i="9"/>
  <c r="C24" i="15" s="1"/>
  <c r="C7" i="9"/>
  <c r="C25" i="15" s="1"/>
  <c r="C13" i="8"/>
  <c r="C14" i="8" s="1"/>
  <c r="C6" i="13"/>
  <c r="C18" i="8"/>
  <c r="C13" i="13" s="1"/>
  <c r="C11" i="10"/>
  <c r="C29" i="10" s="1"/>
  <c r="C20" i="10" s="1"/>
  <c r="C5" i="10"/>
  <c r="C17" i="8"/>
  <c r="C12" i="13" s="1"/>
  <c r="C10" i="10"/>
  <c r="C46" i="7"/>
  <c r="C8" i="9"/>
  <c r="C26" i="15" s="1"/>
  <c r="B8" i="13"/>
  <c r="B9" i="13" s="1"/>
  <c r="B12" i="9"/>
  <c r="B41" i="15" s="1"/>
  <c r="B12" i="10"/>
  <c r="B28" i="10"/>
  <c r="D24" i="7"/>
  <c r="E22" i="7"/>
  <c r="B23" i="19"/>
  <c r="B152" i="16"/>
  <c r="B68" i="16"/>
  <c r="G148" i="16"/>
  <c r="G53" i="18" s="1"/>
  <c r="B54" i="16"/>
  <c r="B151" i="16" s="1"/>
  <c r="D31" i="7"/>
  <c r="E29" i="7"/>
  <c r="E40" i="7" s="1"/>
  <c r="B14" i="8"/>
  <c r="B9" i="19"/>
  <c r="B8" i="19"/>
  <c r="B6" i="19"/>
  <c r="E15" i="7"/>
  <c r="D17" i="7"/>
  <c r="E52" i="7"/>
  <c r="E45" i="7" s="1"/>
  <c r="F8" i="7"/>
  <c r="E10" i="7"/>
  <c r="B10" i="13" l="1"/>
  <c r="B15" i="13"/>
  <c r="C15" i="8"/>
  <c r="E6" i="13"/>
  <c r="E21" i="8"/>
  <c r="E17" i="13" s="1"/>
  <c r="E36" i="13" s="1"/>
  <c r="E13" i="9"/>
  <c r="E42" i="15" s="1"/>
  <c r="E18" i="8"/>
  <c r="E13" i="13" s="1"/>
  <c r="E46" i="7"/>
  <c r="E7" i="9"/>
  <c r="E25" i="15" s="1"/>
  <c r="E13" i="8"/>
  <c r="E14" i="8" s="1"/>
  <c r="E5" i="11"/>
  <c r="E17" i="8"/>
  <c r="E12" i="13" s="1"/>
  <c r="E11" i="10"/>
  <c r="E29" i="10" s="1"/>
  <c r="E20" i="10" s="1"/>
  <c r="E6" i="10"/>
  <c r="E27" i="10" s="1"/>
  <c r="E10" i="10"/>
  <c r="E6" i="9"/>
  <c r="E24" i="15" s="1"/>
  <c r="E5" i="10"/>
  <c r="E5" i="9"/>
  <c r="E16" i="8"/>
  <c r="E8" i="9"/>
  <c r="E26" i="15" s="1"/>
  <c r="E14" i="9"/>
  <c r="E43" i="15" s="1"/>
  <c r="B20" i="8"/>
  <c r="B15" i="8"/>
  <c r="D19" i="8"/>
  <c r="D11" i="13"/>
  <c r="D14" i="13" s="1"/>
  <c r="B42" i="13"/>
  <c r="B18" i="14"/>
  <c r="B20" i="14" s="1"/>
  <c r="B21" i="14" s="1"/>
  <c r="B15" i="10"/>
  <c r="B17" i="10" s="1"/>
  <c r="C40" i="15"/>
  <c r="C11" i="9"/>
  <c r="C15" i="9" s="1"/>
  <c r="C49" i="7"/>
  <c r="D43" i="7"/>
  <c r="D47" i="7" s="1"/>
  <c r="D48" i="7" s="1"/>
  <c r="D14" i="18" s="1"/>
  <c r="C53" i="7"/>
  <c r="C51" i="7"/>
  <c r="C44" i="7" s="1"/>
  <c r="C12" i="10"/>
  <c r="C28" i="10"/>
  <c r="D19" i="14"/>
  <c r="D19" i="10"/>
  <c r="C8" i="13"/>
  <c r="C12" i="9"/>
  <c r="C41" i="15" s="1"/>
  <c r="D23" i="8"/>
  <c r="D6" i="11"/>
  <c r="D18" i="11"/>
  <c r="F40" i="7"/>
  <c r="F10" i="7"/>
  <c r="F52" i="7"/>
  <c r="F45" i="7" s="1"/>
  <c r="C9" i="9"/>
  <c r="C23" i="15"/>
  <c r="D8" i="13"/>
  <c r="D9" i="13" s="1"/>
  <c r="D12" i="9"/>
  <c r="D41" i="15" s="1"/>
  <c r="C23" i="8"/>
  <c r="C18" i="11"/>
  <c r="C6" i="11"/>
  <c r="B15" i="9"/>
  <c r="B17" i="9" s="1"/>
  <c r="D9" i="19"/>
  <c r="D6" i="19"/>
  <c r="D7" i="19"/>
  <c r="D8" i="19"/>
  <c r="E31" i="7"/>
  <c r="F29" i="7"/>
  <c r="F31" i="7" s="1"/>
  <c r="B32" i="15"/>
  <c r="C18" i="10"/>
  <c r="C21" i="10" s="1"/>
  <c r="D40" i="15"/>
  <c r="D44" i="15" s="1"/>
  <c r="D49" i="15" s="1"/>
  <c r="D49" i="7"/>
  <c r="E43" i="7"/>
  <c r="D53" i="7"/>
  <c r="D11" i="9"/>
  <c r="D51" i="7"/>
  <c r="D44" i="7" s="1"/>
  <c r="B153" i="16"/>
  <c r="B22" i="19"/>
  <c r="B71" i="16"/>
  <c r="C19" i="14"/>
  <c r="C19" i="10"/>
  <c r="B13" i="14"/>
  <c r="B39" i="13"/>
  <c r="B52" i="15"/>
  <c r="D7" i="10"/>
  <c r="D8" i="10" s="1"/>
  <c r="D26" i="10"/>
  <c r="D9" i="9"/>
  <c r="D23" i="15"/>
  <c r="E17" i="7"/>
  <c r="F15" i="7"/>
  <c r="F17" i="7" s="1"/>
  <c r="C7" i="10"/>
  <c r="C8" i="10" s="1"/>
  <c r="C26" i="10"/>
  <c r="C19" i="8"/>
  <c r="C20" i="8" s="1"/>
  <c r="C11" i="13"/>
  <c r="C14" i="13" s="1"/>
  <c r="F22" i="7"/>
  <c r="F24" i="7" s="1"/>
  <c r="E24" i="7"/>
  <c r="C47" i="7"/>
  <c r="C48" i="7" s="1"/>
  <c r="C14" i="18" s="1"/>
  <c r="D14" i="8"/>
  <c r="B38" i="13"/>
  <c r="B12" i="14"/>
  <c r="B16" i="10"/>
  <c r="C7" i="19"/>
  <c r="C6" i="19"/>
  <c r="C9" i="13"/>
  <c r="C8" i="19"/>
  <c r="C9" i="19"/>
  <c r="B44" i="15"/>
  <c r="B49" i="15" s="1"/>
  <c r="D12" i="10"/>
  <c r="D28" i="10"/>
  <c r="B14" i="14" l="1"/>
  <c r="B40" i="13"/>
  <c r="B68" i="18"/>
  <c r="B67" i="18"/>
  <c r="E20" i="8"/>
  <c r="E15" i="8"/>
  <c r="D15" i="13"/>
  <c r="D10" i="13"/>
  <c r="D16" i="10"/>
  <c r="D12" i="14"/>
  <c r="D38" i="13"/>
  <c r="C39" i="13"/>
  <c r="C13" i="14"/>
  <c r="C44" i="15"/>
  <c r="C49" i="15" s="1"/>
  <c r="E11" i="13"/>
  <c r="E14" i="13" s="1"/>
  <c r="E19" i="8"/>
  <c r="E49" i="7"/>
  <c r="E40" i="15"/>
  <c r="E44" i="15" s="1"/>
  <c r="E49" i="15" s="1"/>
  <c r="F43" i="7"/>
  <c r="E53" i="7"/>
  <c r="E11" i="9"/>
  <c r="E15" i="9" s="1"/>
  <c r="E51" i="7"/>
  <c r="E44" i="7" s="1"/>
  <c r="E47" i="7" s="1"/>
  <c r="E48" i="7" s="1"/>
  <c r="E14" i="18" s="1"/>
  <c r="D18" i="14"/>
  <c r="D21" i="14" s="1"/>
  <c r="D15" i="10"/>
  <c r="D42" i="13"/>
  <c r="D13" i="14"/>
  <c r="D39" i="13"/>
  <c r="B31" i="15"/>
  <c r="B37" i="15" s="1"/>
  <c r="C14" i="10"/>
  <c r="E23" i="15"/>
  <c r="E9" i="9"/>
  <c r="C52" i="15"/>
  <c r="D18" i="10"/>
  <c r="D21" i="10" s="1"/>
  <c r="C32" i="15"/>
  <c r="B33" i="16"/>
  <c r="B16" i="19"/>
  <c r="E26" i="10"/>
  <c r="E7" i="10"/>
  <c r="E8" i="10" s="1"/>
  <c r="D20" i="8"/>
  <c r="D15" i="8"/>
  <c r="F16" i="8"/>
  <c r="F7" i="9"/>
  <c r="F25" i="15" s="1"/>
  <c r="F13" i="8"/>
  <c r="F13" i="9"/>
  <c r="F42" i="15" s="1"/>
  <c r="F17" i="8"/>
  <c r="F12" i="13" s="1"/>
  <c r="F11" i="10"/>
  <c r="F29" i="10" s="1"/>
  <c r="F20" i="10" s="1"/>
  <c r="F6" i="13"/>
  <c r="F5" i="9"/>
  <c r="F10" i="10"/>
  <c r="F5" i="11"/>
  <c r="F6" i="10"/>
  <c r="F27" i="10" s="1"/>
  <c r="F5" i="10"/>
  <c r="F6" i="9"/>
  <c r="F24" i="15" s="1"/>
  <c r="F18" i="8"/>
  <c r="F13" i="13" s="1"/>
  <c r="F46" i="7"/>
  <c r="F21" i="8"/>
  <c r="F17" i="13" s="1"/>
  <c r="F36" i="13" s="1"/>
  <c r="F8" i="9"/>
  <c r="F26" i="15" s="1"/>
  <c r="F14" i="9"/>
  <c r="F43" i="15" s="1"/>
  <c r="E18" i="11"/>
  <c r="E23" i="8"/>
  <c r="E6" i="11"/>
  <c r="C15" i="13"/>
  <c r="C10" i="13"/>
  <c r="C42" i="13"/>
  <c r="C18" i="14"/>
  <c r="C21" i="14" s="1"/>
  <c r="C15" i="10"/>
  <c r="E9" i="19"/>
  <c r="E7" i="19"/>
  <c r="E6" i="19"/>
  <c r="E9" i="13"/>
  <c r="E8" i="19"/>
  <c r="C38" i="13"/>
  <c r="C12" i="14"/>
  <c r="C16" i="10"/>
  <c r="B11" i="19"/>
  <c r="B35" i="13"/>
  <c r="B37" i="13" s="1"/>
  <c r="B41" i="13" s="1"/>
  <c r="B44" i="13" s="1"/>
  <c r="B45" i="13" s="1"/>
  <c r="B47" i="13" s="1"/>
  <c r="B49" i="13" s="1"/>
  <c r="B10" i="19"/>
  <c r="E8" i="13"/>
  <c r="E12" i="9"/>
  <c r="E41" i="15" s="1"/>
  <c r="E28" i="10"/>
  <c r="E12" i="10"/>
  <c r="C17" i="9"/>
  <c r="E19" i="14"/>
  <c r="E19" i="10"/>
  <c r="D15" i="9"/>
  <c r="D17" i="9" s="1"/>
  <c r="D40" i="13" l="1"/>
  <c r="D14" i="14"/>
  <c r="D33" i="16"/>
  <c r="D16" i="19"/>
  <c r="F12" i="9"/>
  <c r="F41" i="15" s="1"/>
  <c r="F8" i="13"/>
  <c r="F18" i="11"/>
  <c r="F6" i="11"/>
  <c r="F23" i="8"/>
  <c r="D11" i="19"/>
  <c r="D35" i="13"/>
  <c r="D37" i="13" s="1"/>
  <c r="D41" i="13" s="1"/>
  <c r="D44" i="13" s="1"/>
  <c r="D10" i="19"/>
  <c r="F40" i="15"/>
  <c r="F11" i="9"/>
  <c r="F53" i="7"/>
  <c r="F49" i="7"/>
  <c r="F51" i="7"/>
  <c r="F44" i="7" s="1"/>
  <c r="D52" i="15"/>
  <c r="C11" i="19"/>
  <c r="C35" i="13"/>
  <c r="C37" i="13" s="1"/>
  <c r="C41" i="13" s="1"/>
  <c r="C44" i="13" s="1"/>
  <c r="C10" i="19"/>
  <c r="B53" i="13"/>
  <c r="B50" i="18" s="1"/>
  <c r="B54" i="13"/>
  <c r="E10" i="13"/>
  <c r="E15" i="13"/>
  <c r="C16" i="19"/>
  <c r="C33" i="16"/>
  <c r="D32" i="15"/>
  <c r="E18" i="10"/>
  <c r="E21" i="10" s="1"/>
  <c r="E17" i="9"/>
  <c r="F19" i="10"/>
  <c r="F19" i="14"/>
  <c r="C17" i="10"/>
  <c r="C40" i="13"/>
  <c r="C14" i="14"/>
  <c r="F12" i="10"/>
  <c r="F28" i="10"/>
  <c r="E39" i="13"/>
  <c r="E13" i="14"/>
  <c r="F26" i="10"/>
  <c r="F7" i="10"/>
  <c r="F8" i="10" s="1"/>
  <c r="F11" i="13"/>
  <c r="F14" i="13" s="1"/>
  <c r="F19" i="8"/>
  <c r="F47" i="7"/>
  <c r="F48" i="7" s="1"/>
  <c r="F14" i="18" s="1"/>
  <c r="F23" i="15"/>
  <c r="F9" i="9"/>
  <c r="E15" i="10"/>
  <c r="E18" i="14"/>
  <c r="E21" i="14" s="1"/>
  <c r="E42" i="13"/>
  <c r="E16" i="10"/>
  <c r="E12" i="14"/>
  <c r="E38" i="13"/>
  <c r="F6" i="19"/>
  <c r="F8" i="19"/>
  <c r="F7" i="19"/>
  <c r="F9" i="13"/>
  <c r="F9" i="19"/>
  <c r="F14" i="8"/>
  <c r="C31" i="15" l="1"/>
  <c r="C37" i="15" s="1"/>
  <c r="D14" i="10"/>
  <c r="D17" i="10" s="1"/>
  <c r="E52" i="15"/>
  <c r="E32" i="15"/>
  <c r="F18" i="10"/>
  <c r="F21" i="10" s="1"/>
  <c r="F32" i="15" s="1"/>
  <c r="F38" i="13"/>
  <c r="F12" i="14"/>
  <c r="F16" i="10"/>
  <c r="E35" i="13"/>
  <c r="E37" i="13" s="1"/>
  <c r="E41" i="13" s="1"/>
  <c r="E44" i="13" s="1"/>
  <c r="E11" i="19"/>
  <c r="E10" i="19"/>
  <c r="B34" i="16"/>
  <c r="B35" i="16" s="1"/>
  <c r="B18" i="13"/>
  <c r="B19" i="13" s="1"/>
  <c r="F44" i="15"/>
  <c r="F49" i="15" s="1"/>
  <c r="F10" i="13"/>
  <c r="F15" i="13"/>
  <c r="E40" i="13"/>
  <c r="E14" i="14"/>
  <c r="F15" i="10"/>
  <c r="F18" i="14"/>
  <c r="F21" i="14" s="1"/>
  <c r="F42" i="13"/>
  <c r="F39" i="13"/>
  <c r="F13" i="14"/>
  <c r="E33" i="16"/>
  <c r="E16" i="19"/>
  <c r="F20" i="8"/>
  <c r="F15" i="8"/>
  <c r="F15" i="9"/>
  <c r="F17" i="9" s="1"/>
  <c r="F14" i="14" l="1"/>
  <c r="F40" i="13"/>
  <c r="F16" i="19"/>
  <c r="F33" i="16"/>
  <c r="F11" i="19"/>
  <c r="F35" i="13"/>
  <c r="F37" i="13" s="1"/>
  <c r="F41" i="13" s="1"/>
  <c r="F44" i="13" s="1"/>
  <c r="F10" i="19"/>
  <c r="E14" i="10"/>
  <c r="E17" i="10" s="1"/>
  <c r="D31" i="15"/>
  <c r="D37" i="15" s="1"/>
  <c r="B56" i="13"/>
  <c r="B51" i="18" s="1"/>
  <c r="B9" i="12"/>
  <c r="F52" i="15"/>
  <c r="F14" i="10" l="1"/>
  <c r="F17" i="10" s="1"/>
  <c r="F31" i="15" s="1"/>
  <c r="F37" i="15" s="1"/>
  <c r="E31" i="15"/>
  <c r="E37" i="15" s="1"/>
  <c r="B10" i="12"/>
  <c r="B20" i="13" s="1"/>
  <c r="B21" i="13" s="1"/>
  <c r="B12" i="19" l="1"/>
  <c r="B13" i="19"/>
  <c r="B22" i="13"/>
  <c r="B11" i="14"/>
  <c r="B12" i="12"/>
  <c r="B11" i="12"/>
  <c r="B15" i="14" l="1"/>
  <c r="B53" i="15"/>
  <c r="B55" i="15" l="1"/>
  <c r="B56" i="15" s="1"/>
  <c r="B16" i="14"/>
  <c r="B39" i="16"/>
  <c r="B29" i="14"/>
  <c r="B31" i="14"/>
  <c r="B40" i="16" l="1"/>
  <c r="B41" i="16" s="1"/>
  <c r="C30" i="14"/>
  <c r="B17" i="19"/>
  <c r="C34" i="13"/>
  <c r="B21" i="15"/>
  <c r="B32" i="14"/>
  <c r="B9" i="18" s="1"/>
  <c r="B15" i="19"/>
  <c r="B32" i="16"/>
  <c r="B36" i="16" s="1"/>
  <c r="B165" i="16" s="1"/>
  <c r="B48" i="18" s="1"/>
  <c r="B168" i="16" l="1"/>
  <c r="B49" i="16"/>
  <c r="B58" i="15"/>
  <c r="B12" i="18" s="1"/>
  <c r="B27" i="15"/>
  <c r="B38" i="15" s="1"/>
  <c r="C45" i="13"/>
  <c r="C46" i="13"/>
  <c r="C47" i="13" s="1"/>
  <c r="C49" i="13" s="1"/>
  <c r="B33" i="14"/>
  <c r="B11" i="18" s="1"/>
  <c r="B167" i="16"/>
  <c r="B42" i="16"/>
  <c r="B37" i="18" s="1"/>
  <c r="C53" i="13" l="1"/>
  <c r="C54" i="13"/>
  <c r="B57" i="15"/>
  <c r="B6" i="18" s="1"/>
  <c r="B59" i="15"/>
  <c r="B7" i="18" s="1"/>
  <c r="B50" i="16"/>
  <c r="B144" i="16"/>
  <c r="B52" i="18" s="1"/>
  <c r="B18" i="19"/>
  <c r="C34" i="16" l="1"/>
  <c r="C35" i="16" s="1"/>
  <c r="C18" i="13"/>
  <c r="C19" i="13" s="1"/>
  <c r="B148" i="16"/>
  <c r="B53" i="18" s="1"/>
  <c r="C9" i="12" l="1"/>
  <c r="C10" i="12" l="1"/>
  <c r="C20" i="13" s="1"/>
  <c r="C21" i="13" s="1"/>
  <c r="C12" i="12"/>
  <c r="C22" i="13" l="1"/>
  <c r="C12" i="19"/>
  <c r="C13" i="19"/>
  <c r="C11" i="14"/>
  <c r="C16" i="14" s="1"/>
  <c r="C53" i="15"/>
  <c r="C11" i="12"/>
  <c r="C55" i="15" l="1"/>
  <c r="C56" i="15" s="1"/>
  <c r="C15" i="19"/>
  <c r="C29" i="14"/>
  <c r="C31" i="14" s="1"/>
  <c r="C32" i="16"/>
  <c r="C36" i="16" s="1"/>
  <c r="C49" i="16" s="1"/>
  <c r="C50" i="16" l="1"/>
  <c r="C18" i="19"/>
  <c r="C144" i="16"/>
  <c r="C52" i="18" s="1"/>
  <c r="D30" i="14"/>
  <c r="C17" i="19"/>
  <c r="C21" i="15"/>
  <c r="D34" i="13"/>
  <c r="C32" i="14"/>
  <c r="C9" i="18" s="1"/>
  <c r="D45" i="13" l="1"/>
  <c r="D46" i="13"/>
  <c r="D47" i="13" s="1"/>
  <c r="D49" i="13" s="1"/>
  <c r="C58" i="15"/>
  <c r="C12" i="18" s="1"/>
  <c r="C27" i="15"/>
  <c r="C38" i="15" s="1"/>
  <c r="C33" i="14"/>
  <c r="C11" i="18" s="1"/>
  <c r="C148" i="16"/>
  <c r="C53" i="18" s="1"/>
  <c r="C57" i="15" l="1"/>
  <c r="C6" i="18" s="1"/>
  <c r="C59" i="15"/>
  <c r="C7" i="18" s="1"/>
  <c r="D54" i="13"/>
  <c r="D53" i="13"/>
  <c r="D18" i="13" l="1"/>
  <c r="D19" i="13" s="1"/>
  <c r="D34" i="16"/>
  <c r="D35" i="16" s="1"/>
  <c r="D9" i="12" l="1"/>
  <c r="D10" i="12" l="1"/>
  <c r="D20" i="13" s="1"/>
  <c r="D21" i="13" s="1"/>
  <c r="D11" i="12"/>
  <c r="D12" i="12" l="1"/>
  <c r="D22" i="13"/>
  <c r="D13" i="19"/>
  <c r="D11" i="14"/>
  <c r="D16" i="14" s="1"/>
  <c r="D12" i="19"/>
  <c r="D53" i="15"/>
  <c r="D15" i="19" l="1"/>
  <c r="D32" i="16"/>
  <c r="D36" i="16" s="1"/>
  <c r="D49" i="16" s="1"/>
  <c r="D29" i="14"/>
  <c r="D31" i="14" s="1"/>
  <c r="D55" i="15"/>
  <c r="D56" i="15" s="1"/>
  <c r="D21" i="15" l="1"/>
  <c r="E34" i="13"/>
  <c r="D17" i="19"/>
  <c r="E30" i="14"/>
  <c r="D32" i="14"/>
  <c r="D9" i="18" s="1"/>
  <c r="D50" i="16"/>
  <c r="D18" i="19"/>
  <c r="D144" i="16"/>
  <c r="D52" i="18" s="1"/>
  <c r="D148" i="16" l="1"/>
  <c r="D53" i="18" s="1"/>
  <c r="E45" i="13"/>
  <c r="E46" i="13"/>
  <c r="E47" i="13" s="1"/>
  <c r="E49" i="13" s="1"/>
  <c r="D33" i="14"/>
  <c r="D11" i="18" s="1"/>
  <c r="D58" i="15"/>
  <c r="D12" i="18" s="1"/>
  <c r="D27" i="15"/>
  <c r="D38" i="15" s="1"/>
  <c r="D59" i="15" l="1"/>
  <c r="D7" i="18" s="1"/>
  <c r="D57" i="15"/>
  <c r="D6" i="18" s="1"/>
  <c r="E53" i="13"/>
  <c r="E54" i="13"/>
  <c r="E18" i="13" l="1"/>
  <c r="E19" i="13" s="1"/>
  <c r="E34" i="16"/>
  <c r="E35" i="16" s="1"/>
  <c r="E9" i="12" l="1"/>
  <c r="E10" i="12" l="1"/>
  <c r="E20" i="13" s="1"/>
  <c r="E21" i="13" s="1"/>
  <c r="E11" i="12" l="1"/>
  <c r="E12" i="12"/>
  <c r="E13" i="19"/>
  <c r="E11" i="14"/>
  <c r="E16" i="14" s="1"/>
  <c r="E22" i="13"/>
  <c r="E12" i="19"/>
  <c r="E53" i="15"/>
  <c r="E55" i="15" l="1"/>
  <c r="E56" i="15" s="1"/>
  <c r="E29" i="14"/>
  <c r="E31" i="14" s="1"/>
  <c r="E32" i="16"/>
  <c r="E36" i="16" s="1"/>
  <c r="E49" i="16" s="1"/>
  <c r="E15" i="19"/>
  <c r="E17" i="19" l="1"/>
  <c r="E21" i="15"/>
  <c r="F30" i="14"/>
  <c r="F34" i="13"/>
  <c r="E50" i="16"/>
  <c r="E18" i="19"/>
  <c r="E144" i="16"/>
  <c r="E52" i="18" s="1"/>
  <c r="E32" i="14"/>
  <c r="E9" i="18" s="1"/>
  <c r="E148" i="16" l="1"/>
  <c r="E53" i="18" s="1"/>
  <c r="F45" i="13"/>
  <c r="F46" i="13"/>
  <c r="E33" i="14"/>
  <c r="E11" i="18" s="1"/>
  <c r="E27" i="15"/>
  <c r="E38" i="15" s="1"/>
  <c r="E58" i="15"/>
  <c r="E12" i="18" s="1"/>
  <c r="E59" i="15" l="1"/>
  <c r="E7" i="18" s="1"/>
  <c r="E57" i="15"/>
  <c r="E6" i="18" s="1"/>
  <c r="F47" i="13"/>
  <c r="F49" i="13" s="1"/>
  <c r="F53" i="13" l="1"/>
  <c r="F54" i="13"/>
  <c r="F18" i="13" l="1"/>
  <c r="F19" i="13" s="1"/>
  <c r="F34" i="16"/>
  <c r="F35" i="16" s="1"/>
  <c r="F9" i="12" l="1"/>
  <c r="F10" i="12" l="1"/>
  <c r="F20" i="13" s="1"/>
  <c r="F21" i="13" s="1"/>
  <c r="F11" i="12"/>
  <c r="F13" i="19" l="1"/>
  <c r="F12" i="19"/>
  <c r="F22" i="13"/>
  <c r="F11" i="14"/>
  <c r="F16" i="14" s="1"/>
  <c r="F53" i="15"/>
  <c r="F55" i="15" s="1"/>
  <c r="F56" i="15" s="1"/>
  <c r="F12" i="12"/>
  <c r="F29" i="14" l="1"/>
  <c r="F31" i="14" s="1"/>
  <c r="F32" i="16"/>
  <c r="F36" i="16" s="1"/>
  <c r="F49" i="16" s="1"/>
  <c r="F15" i="19"/>
  <c r="F50" i="16" l="1"/>
  <c r="F18" i="19"/>
  <c r="F144" i="16"/>
  <c r="F52" i="18" s="1"/>
  <c r="F17" i="19"/>
  <c r="F21" i="15"/>
  <c r="F32" i="14"/>
  <c r="F9" i="18" s="1"/>
  <c r="F58" i="15" l="1"/>
  <c r="F12" i="18" s="1"/>
  <c r="F27" i="15"/>
  <c r="F38" i="15" s="1"/>
  <c r="F148" i="16"/>
  <c r="F53" i="18" s="1"/>
  <c r="B53" i="16"/>
  <c r="B72" i="18" l="1"/>
  <c r="B150" i="16"/>
  <c r="B55" i="16"/>
  <c r="F57" i="15"/>
  <c r="F6" i="18" s="1"/>
  <c r="F59" i="15"/>
  <c r="F7" i="18" s="1"/>
  <c r="B70" i="16" l="1"/>
  <c r="B72" i="16" s="1"/>
  <c r="B21" i="19"/>
  <c r="B73" i="18"/>
  <c r="B149" i="16"/>
  <c r="B56" i="16"/>
  <c r="B38" i="18" s="1"/>
  <c r="B57" i="16"/>
  <c r="B39" i="18" s="1"/>
  <c r="B24" i="19" l="1"/>
  <c r="B154" i="16"/>
  <c r="B42" i="18" s="1"/>
  <c r="B70" i="18"/>
  <c r="B80" i="16"/>
  <c r="B157" i="16" l="1"/>
  <c r="B45" i="18" s="1"/>
  <c r="B26" i="19"/>
  <c r="B89" i="16"/>
  <c r="B88" i="16"/>
  <c r="B90" i="16"/>
  <c r="B81" i="16"/>
  <c r="B40" i="18" s="1"/>
  <c r="B92" i="16" l="1"/>
  <c r="B46" i="18" s="1"/>
  <c r="B91" i="16"/>
  <c r="B173" i="16" s="1"/>
  <c r="B23" i="18" s="1"/>
  <c r="B18" i="18"/>
  <c r="B172" i="16"/>
  <c r="B22" i="18" s="1"/>
  <c r="B33" i="19"/>
  <c r="B93" i="16"/>
  <c r="B47" i="18" s="1"/>
  <c r="B11" i="17"/>
  <c r="B35" i="19"/>
  <c r="B31" i="19"/>
  <c r="B170" i="16"/>
  <c r="B20" i="18" s="1"/>
  <c r="B171" i="16"/>
  <c r="B21" i="18" s="1"/>
  <c r="B32" i="19"/>
  <c r="B25" i="17" l="1"/>
  <c r="B50" i="17"/>
  <c r="B68" i="17"/>
  <c r="B69" i="17"/>
  <c r="B67" i="17"/>
  <c r="B66" i="17"/>
</calcChain>
</file>

<file path=xl/sharedStrings.xml><?xml version="1.0" encoding="utf-8"?>
<sst xmlns="http://schemas.openxmlformats.org/spreadsheetml/2006/main" count="10580" uniqueCount="1240">
  <si>
    <t>Duolingo, Inc. (NASDAQ: DUOL)</t>
  </si>
  <si>
    <t>Financial Model Snapshot — functional workbook, live formulas, frozen as-of basis. Not live to any web slider or external feed.</t>
  </si>
  <si>
    <t>AS-OF SNAPSHOT — as of October 6, 2026. Static bytes on disk; live Excel formulas inside. No live linkage to web sliders.</t>
  </si>
  <si>
    <t>BASIS (as of snapshot date)</t>
  </si>
  <si>
    <t/>
  </si>
  <si>
    <t>Model date</t>
  </si>
  <si>
    <t>2026-10-06</t>
  </si>
  <si>
    <t>as-of banner date</t>
  </si>
  <si>
    <t>Units</t>
  </si>
  <si>
    <t>$ in thousands (as filed)</t>
  </si>
  <si>
    <t>counts: units; per-share: $</t>
  </si>
  <si>
    <t>Version / tag</t>
  </si>
  <si>
    <t>v1.0-P10</t>
  </si>
  <si>
    <t>web model tag at snapshot</t>
  </si>
  <si>
    <t>Scenario selected</t>
  </si>
  <si>
    <t>base</t>
  </si>
  <si>
    <t>scenario switch on 01_Control</t>
  </si>
  <si>
    <t>WACC</t>
  </si>
  <si>
    <t>rf 4.79% + beta 1.49 x ERP 4.25%</t>
  </si>
  <si>
    <t>Terminal growth</t>
  </si>
  <si>
    <t>Gordon terminal, stage 3</t>
  </si>
  <si>
    <t>Diluted shares</t>
  </si>
  <si>
    <t>point-in-time FD per P10.4 schedule, measured 2026-06-30</t>
  </si>
  <si>
    <t>Market price</t>
  </si>
  <si>
    <t>$ per share</t>
  </si>
  <si>
    <t>Net cash basis</t>
  </si>
  <si>
    <t>cash + ST investments + LT investments (Q2 FY2026, as filed)</t>
  </si>
  <si>
    <t>TAB INDEX</t>
  </si>
  <si>
    <t>Sheet</t>
  </si>
  <si>
    <t>What it holds</t>
  </si>
  <si>
    <t>00_Cover</t>
  </si>
  <si>
    <t>model controls, basis and as-of statement</t>
  </si>
  <si>
    <t>01_Control</t>
  </si>
  <si>
    <t>tolerance, conventions, formatting key</t>
  </si>
  <si>
    <t>02_Sources</t>
  </si>
  <si>
    <t>every cited figure with filing, period and URL</t>
  </si>
  <si>
    <t>03_Historicals</t>
  </si>
  <si>
    <t>reported IS/BS/CF, KPIs, EBITDA bridge</t>
  </si>
  <si>
    <t>04_Assumptions</t>
  </si>
  <si>
    <t>driver table (bear/bull columns are reference-only)</t>
  </si>
  <si>
    <t>05_User_Model</t>
  </si>
  <si>
    <t>DAU/MAU/paid-subscriber roll</t>
  </si>
  <si>
    <t>06_Revenue_Bookings</t>
  </si>
  <si>
    <t>segment revenue build + deferred-revenue roll</t>
  </si>
  <si>
    <t>07_Costs_Opex</t>
  </si>
  <si>
    <t>cost and opex margins</t>
  </si>
  <si>
    <t>08_Working_Capital</t>
  </si>
  <si>
    <t>working capital on revenue and day drivers</t>
  </si>
  <si>
    <t>09_Capex_DA</t>
  </si>
  <si>
    <t>capex, PP&amp;E and intangibles roll</t>
  </si>
  <si>
    <t>10_SBC_Shares</t>
  </si>
  <si>
    <t>SBC and the diluted share count</t>
  </si>
  <si>
    <t>11_Taxes</t>
  </si>
  <si>
    <t>effective tax provision</t>
  </si>
  <si>
    <t>12_IS</t>
  </si>
  <si>
    <t>income statement (FY2026 hybrid: H1 cited + H2 modelled)</t>
  </si>
  <si>
    <t>13_BS</t>
  </si>
  <si>
    <t>balance sheet</t>
  </si>
  <si>
    <t>14_CF</t>
  </si>
  <si>
    <t>cash flow statement</t>
  </si>
  <si>
    <t>15_DCF</t>
  </si>
  <si>
    <t>FCFF DCF, dated valuation seam</t>
  </si>
  <si>
    <t>16_Scenarios_Sens</t>
  </si>
  <si>
    <t>scenario lanes and precomputed grid (reference-only)</t>
  </si>
  <si>
    <t>17_Checks</t>
  </si>
  <si>
    <t>every turning indicator + C2 tripwire</t>
  </si>
  <si>
    <t>18_Summary</t>
  </si>
  <si>
    <t>investment dashboard</t>
  </si>
  <si>
    <t>CACHE NOTE</t>
  </si>
  <si>
    <t>This file is served at an immutable path with an immutable name. If your spreadsheet app shows a stale copy, hard-reload (Ctrl+Shift+R) or clear the cached download before opening. The filename carries the snapshot as-of date, not the build date.</t>
  </si>
  <si>
    <t>COLD-OPEN STATUS</t>
  </si>
  <si>
    <t>Cold-open verification in desktop Excel and Google Sheets has NOT been run for this build: neither application is available in the environment that produced it. Every check that does not require those two applications HAS been run — 1,341 formula cells live-evaluated against their stored results (0 errors, 0 mismatches), and the package XML inspected directly for error literals, volatile functions, external links, macros and prohibited strings. Treat the two-application matrix as outstanding, not passed.</t>
  </si>
  <si>
    <t>Control</t>
  </si>
  <si>
    <t>Model controls and conventions. Forecast starts FY2026; actuals through Q2 FY2026.</t>
  </si>
  <si>
    <t>CONTROL</t>
  </si>
  <si>
    <t>Forecast start</t>
  </si>
  <si>
    <t>FY2026</t>
  </si>
  <si>
    <t>actuals run FY2021–FY2025 + Q1–Q2 FY2026</t>
  </si>
  <si>
    <t>Actual / estimate flags</t>
  </si>
  <si>
    <t>Actuals: FY2021–FY2025, Q1–Q2 FY2026; Estimates: FY2026+ beyond Q2</t>
  </si>
  <si>
    <t>near-term estimates, then annual</t>
  </si>
  <si>
    <t>Scenario switch</t>
  </si>
  <si>
    <t>INACTIVE in this snapshot — recorded for convention only. No formula consumes it (0 consumers, verified). Bear/bull deltas on 04_Assumptions are reference-only; live scenario wiring lands with 16_Scenarios_Sens at P12.4.</t>
  </si>
  <si>
    <t>Stage 1 (explicit)</t>
  </si>
  <si>
    <t>FY2026–FY2030</t>
  </si>
  <si>
    <t>five forward years, user-extensible 3–10</t>
  </si>
  <si>
    <t>Stage 2 (fade)</t>
  </si>
  <si>
    <t>FY2031–FY2035</t>
  </si>
  <si>
    <t>linear glide to terminal fundamentals</t>
  </si>
  <si>
    <t>Stage 3 (terminal)</t>
  </si>
  <si>
    <t>FY2036+</t>
  </si>
  <si>
    <t>Gordon steady-state on declared inputs</t>
  </si>
  <si>
    <t>Formatting key</t>
  </si>
  <si>
    <t>Blue = hardcoded input · Black = calculated · Grey = cited disclosure</t>
  </si>
  <si>
    <t>one convention, workbook-wide</t>
  </si>
  <si>
    <t>Tolerance statement</t>
  </si>
  <si>
    <t>Footing tolerance $1,000 per leg; per-share $0.01; checks turn on breach</t>
  </si>
  <si>
    <t>turning OK/BREAK indicator on every gate</t>
  </si>
  <si>
    <t>Tolerance (USD thousands)</t>
  </si>
  <si>
    <t>every OK/BREAK row references this via Tolerance_USD named range</t>
  </si>
  <si>
    <t>FORMATTING KEY</t>
  </si>
  <si>
    <t>Blue font</t>
  </si>
  <si>
    <t>hardcoded input (cited or typed)</t>
  </si>
  <si>
    <t>unlocked</t>
  </si>
  <si>
    <t>Black font</t>
  </si>
  <si>
    <t>calculated cell (live formula)</t>
  </si>
  <si>
    <t>locked</t>
  </si>
  <si>
    <t>Grey italic</t>
  </si>
  <si>
    <t>cited disclosure / source note</t>
  </si>
  <si>
    <t>—</t>
  </si>
  <si>
    <t>Check OK / BREAK</t>
  </si>
  <si>
    <t>turning indicator fills green / red</t>
  </si>
  <si>
    <t>conditional format</t>
  </si>
  <si>
    <t>FORMATTING KEY — palette, type and number-format conventions</t>
  </si>
  <si>
    <t>Body font: Calibri throughout. Blue font = a hardcoded input or cited figure; black = formula. Black is locked under sheet protection; blue is unlocked.</t>
  </si>
  <si>
    <t>Tab colours: inputs 00-04 slate; schedules 05-11 blue; statements 12-14 violet; valuation 15-16 teal; checks and summary 17-18 amber.</t>
  </si>
  <si>
    <t>Money: $#,##0;($#,##0);"-" — accounting, $ thousands unless a row says dollars. A zero or nil shows as a dash.</t>
  </si>
  <si>
    <t>Ordinary percentages: 0.0%. Per-share dollars: $#,##0.00. Counts and day counts: #,##0 with no currency symbol.</t>
  </si>
  <si>
    <t>Rates keep extra decimals so the value stays visible (0.00% / 0.000% / 0.000000): WACC; Terminal growth; Risk-Free Rate (10Y Treasury); Equity Risk Premium (US); Terminal Growth Rate (Perpetuity); Effective Tax Rate (Normalized Structural); Interest Income Rate (% of Average Invested Cash); Effective interest rate applied (FY2026 = rate / 2); WACC (discount rate); Cost of equity = risk-free + beta × equity risk premium; Terminal growth rate g (Stage 3);   WACC (engine);   Terminal growth g (engine);   Perpetual post-terminal dilution d_perm (engine); Headline WACC (live from Cover); Headline terminal growth g (live from Cover); Scenario WACC (discount rate); Scenario terminal growth rate g; g across, WACC down; C2 observed — |residual| ÷ revenue (the tripwire quantity, disclosed); C2 disclosure — |residual| ÷ CITED Adjusted EBITDA (unusable as a bound; shown, not hidden); WACC; Terminal growth (g).</t>
  </si>
  <si>
    <t>EXCEPTION LIST — rows formatted as money that are really counts, days or prices, so they carry no currency symbol: Diluted shares; Daily active users (DAUs); Monthly active users (MAUs); Paid subscribers; Days Sales Outstanding (DSO); Days Payable Outstanding (DPO); Diluted Shares Outstanding; Market Share Price (Snapshot Close); Paid subscribers (cited); DAUs (cited); MAUs (cited); Paid subscribers — beginning; Paid subscribers — end; Paid subscribers — average; Diluted share count (point-in-time FD, P10.4); Check — ending cash = next period opening cash (OK/BREAK); Check — ending cash = next period opening cash (OK/BREAK).</t>
  </si>
  <si>
    <t>Every schedule and statement is frozen below its header row, repeats that header on every printed page, and prints landscape fitted to one page wide.</t>
  </si>
  <si>
    <t>Sources</t>
  </si>
  <si>
    <t>All cited figures from filings and disclosures. Source data only — no calculations on this tab.</t>
  </si>
  <si>
    <t>Source records: 706 total (income 188, balance 209, cashflow 257, kpis 52).</t>
  </si>
  <si>
    <t>Dataset</t>
  </si>
  <si>
    <t>Metric</t>
  </si>
  <si>
    <t>Label</t>
  </si>
  <si>
    <t>Period</t>
  </si>
  <si>
    <t>Period type</t>
  </si>
  <si>
    <t>Value</t>
  </si>
  <si>
    <t>Scale</t>
  </si>
  <si>
    <t>Filing</t>
  </si>
  <si>
    <t>Filing period</t>
  </si>
  <si>
    <t>Statement</t>
  </si>
  <si>
    <t>Source URL</t>
  </si>
  <si>
    <t>Accessed</t>
  </si>
  <si>
    <t>Definition / notes</t>
  </si>
  <si>
    <t>income</t>
  </si>
  <si>
    <t>revenue_subscription</t>
  </si>
  <si>
    <t>Subscription revenue</t>
  </si>
  <si>
    <t>FY2021</t>
  </si>
  <si>
    <t>fiscal_year</t>
  </si>
  <si>
    <t>thousands_usd</t>
  </si>
  <si>
    <t>10-K</t>
  </si>
  <si>
    <t>Fiscal Year 2021</t>
  </si>
  <si>
    <t>Notes to Consolidated Financial Statements  -  Disaggregation of Revenue</t>
  </si>
  <si>
    <t>https://www.sec.gov/Archives/edgar/data/1562088/000156208824000050/duol-20231231.htm</t>
  </si>
  <si>
    <t>2026-09-01</t>
  </si>
  <si>
    <t>revenue_advertising</t>
  </si>
  <si>
    <t>Advertising revenue</t>
  </si>
  <si>
    <t>revenue_duolingo_english_test</t>
  </si>
  <si>
    <t>Duolingo English Test revenue</t>
  </si>
  <si>
    <t>revenue_in_app_purchases</t>
  </si>
  <si>
    <t>In-App Purchases revenue</t>
  </si>
  <si>
    <t>revenue_other</t>
  </si>
  <si>
    <t>Other revenue</t>
  </si>
  <si>
    <t>revenue_total</t>
  </si>
  <si>
    <t>Total revenues</t>
  </si>
  <si>
    <t>cost_of_revenue</t>
  </si>
  <si>
    <t>Cost of revenues</t>
  </si>
  <si>
    <t>Consolidated Statements of Operations and Comprehensive Income (Loss)</t>
  </si>
  <si>
    <t>gross_profit</t>
  </si>
  <si>
    <t>Gross profit</t>
  </si>
  <si>
    <t>opex_research_and_development</t>
  </si>
  <si>
    <t>Research and development</t>
  </si>
  <si>
    <t>opex_sales_and_marketing</t>
  </si>
  <si>
    <t>Sales and marketing</t>
  </si>
  <si>
    <t>opex_general_and_administrative</t>
  </si>
  <si>
    <t>General and administrative</t>
  </si>
  <si>
    <t>opex_total</t>
  </si>
  <si>
    <t>Total operating expenses</t>
  </si>
  <si>
    <t>operating_income</t>
  </si>
  <si>
    <t>Income (loss) from operations</t>
  </si>
  <si>
    <t>other_income</t>
  </si>
  <si>
    <t>Other income</t>
  </si>
  <si>
    <t>other_expense</t>
  </si>
  <si>
    <t>Other expense</t>
  </si>
  <si>
    <t>other_income_net</t>
  </si>
  <si>
    <t>Other income (expense), net</t>
  </si>
  <si>
    <t>income_before_interest_and_taxes</t>
  </si>
  <si>
    <t>Income (loss) before interest income and income taxes</t>
  </si>
  <si>
    <t>interest_income</t>
  </si>
  <si>
    <t>Interest income</t>
  </si>
  <si>
    <t>pretax_income</t>
  </si>
  <si>
    <t>Income (loss) before income taxes</t>
  </si>
  <si>
    <t>income_tax</t>
  </si>
  <si>
    <t>(Benefit from) provision for income taxes</t>
  </si>
  <si>
    <t>net_income</t>
  </si>
  <si>
    <t>Net income (loss) and comprehensive income (loss)</t>
  </si>
  <si>
    <t>FY2022</t>
  </si>
  <si>
    <t>Fiscal Year 2022</t>
  </si>
  <si>
    <t>FY2023</t>
  </si>
  <si>
    <t>Fiscal Year 2023</t>
  </si>
  <si>
    <t>https://www.sec.gov/Archives/edgar/data/1562088/000162828026012494/duol-20251231.htm</t>
  </si>
  <si>
    <t>Consolidated Statements of Operations and Comprehensive Income</t>
  </si>
  <si>
    <t>FY2024</t>
  </si>
  <si>
    <t>Fiscal Year 2024</t>
  </si>
  <si>
    <t>FY2025</t>
  </si>
  <si>
    <t>Fiscal Year 2025</t>
  </si>
  <si>
    <t>Q3 FY2025</t>
  </si>
  <si>
    <t>quarter</t>
  </si>
  <si>
    <t>10-Q</t>
  </si>
  <si>
    <t>Three months ended September 30, 2025</t>
  </si>
  <si>
    <t>https://www.sec.gov/Archives/edgar/data/1562088/000162828025049743/duol-20250930.htm</t>
  </si>
  <si>
    <t>Unaudited Condensed Consolidated Statements of Operations and Comprehensive Income</t>
  </si>
  <si>
    <t>Q1 FY2026</t>
  </si>
  <si>
    <t>Three months ended March 31, 2026</t>
  </si>
  <si>
    <t>https://www.sec.gov/Archives/edgar/data/1562088/000162828026029976/duol-20260331.htm</t>
  </si>
  <si>
    <t>Q2 FY2026</t>
  </si>
  <si>
    <t>Three months ended June 30, 2026</t>
  </si>
  <si>
    <t>https://www.sec.gov/Archives/edgar/data/1562088/000162828026053603/duol-20260630.htm</t>
  </si>
  <si>
    <t>9M FY2025</t>
  </si>
  <si>
    <t>ytd</t>
  </si>
  <si>
    <t>Nine months ended September 30, 2025</t>
  </si>
  <si>
    <t>amortization_expense_total</t>
  </si>
  <si>
    <t>Amortization expense</t>
  </si>
  <si>
    <t>Notes to Consolidated Financial Statements  -  Capitalized Software</t>
  </si>
  <si>
    <t>https://www.sec.gov/Archives/edgar/data/1562088/000156208822000039/duol-20211231.htm</t>
  </si>
  <si>
    <t>Notes to Consolidated Financial Statements  -  Intangible Assets, Net</t>
  </si>
  <si>
    <t>6M FY2026</t>
  </si>
  <si>
    <t>Six months ended June 30, 2026</t>
  </si>
  <si>
    <t>Notes to Unaudited Condensed Consolidated Financial Statements  -  Intangible Assets, Net</t>
  </si>
  <si>
    <t>balance</t>
  </si>
  <si>
    <t>cash_and_cash_equivalents</t>
  </si>
  <si>
    <t>Cash and cash equivalents</t>
  </si>
  <si>
    <t>Consolidated Balance Sheets</t>
  </si>
  <si>
    <t>accounts_receivable</t>
  </si>
  <si>
    <t>Accounts receivable</t>
  </si>
  <si>
    <t>deferred_cost_of_revenues</t>
  </si>
  <si>
    <t>Deferred cost of revenues</t>
  </si>
  <si>
    <t>prepaid_expenses_and_other_current_assets</t>
  </si>
  <si>
    <t>Prepaid expenses and other current assets</t>
  </si>
  <si>
    <t>total_current_assets</t>
  </si>
  <si>
    <t>Total current assets</t>
  </si>
  <si>
    <t>operating_lease_right_of_use_assets</t>
  </si>
  <si>
    <t>Operating lease right-of-use assets</t>
  </si>
  <si>
    <t>property_and_equipment_net</t>
  </si>
  <si>
    <t>Property and equipment, net</t>
  </si>
  <si>
    <t>capitalized_software_net</t>
  </si>
  <si>
    <t>Capitalized software, net</t>
  </si>
  <si>
    <t>other_assets</t>
  </si>
  <si>
    <t>Other assets</t>
  </si>
  <si>
    <t>total_assets</t>
  </si>
  <si>
    <t>Total assets</t>
  </si>
  <si>
    <t>deferred_revenues</t>
  </si>
  <si>
    <t>Deferred revenues</t>
  </si>
  <si>
    <t>accounts_payable</t>
  </si>
  <si>
    <t>Accounts payable</t>
  </si>
  <si>
    <t>income_tax_payable</t>
  </si>
  <si>
    <t>Income tax payable</t>
  </si>
  <si>
    <t>accrued_expenses_and_other_current_liabilities</t>
  </si>
  <si>
    <t>Accrued expenses and other current liabilities</t>
  </si>
  <si>
    <t>total_current_liabilities</t>
  </si>
  <si>
    <t>Total current liabilities</t>
  </si>
  <si>
    <t>long_term_operating_lease_liability</t>
  </si>
  <si>
    <t>Long-term obligation under operating leases</t>
  </si>
  <si>
    <t>total_liabilities</t>
  </si>
  <si>
    <t>Total liabilities</t>
  </si>
  <si>
    <t>common_stock</t>
  </si>
  <si>
    <t>Common stock</t>
  </si>
  <si>
    <t>additional_paid_in_capital</t>
  </si>
  <si>
    <t>Additional paid-in capital</t>
  </si>
  <si>
    <t>retained_earnings_accumulated_deficit</t>
  </si>
  <si>
    <t>Retained earnings (Accumulated deficit)</t>
  </si>
  <si>
    <t>total_stockholders_equity</t>
  </si>
  <si>
    <t>Total stockholders' equity</t>
  </si>
  <si>
    <t>total_liabilities_and_stockholders_equity</t>
  </si>
  <si>
    <t>Total liabilities and stockholders' equity</t>
  </si>
  <si>
    <t>intangible_assets_net</t>
  </si>
  <si>
    <t>Intangible assets, net</t>
  </si>
  <si>
    <t>goodwill</t>
  </si>
  <si>
    <t>Goodwill</t>
  </si>
  <si>
    <t>deferred_tax_assets_net</t>
  </si>
  <si>
    <t>Deferred tax assets, net</t>
  </si>
  <si>
    <t>restricted_cash</t>
  </si>
  <si>
    <t>Restricted cash</t>
  </si>
  <si>
    <t>short_term_investments</t>
  </si>
  <si>
    <t>Short-term investments</t>
  </si>
  <si>
    <t>income_tax_receivable</t>
  </si>
  <si>
    <t>Income tax receivable</t>
  </si>
  <si>
    <t>long_term_investments</t>
  </si>
  <si>
    <t>Long-term investments</t>
  </si>
  <si>
    <t>deferred_tax_liabilities_net</t>
  </si>
  <si>
    <t>Deferred tax liabilities, net</t>
  </si>
  <si>
    <t>As of June 30, 2026</t>
  </si>
  <si>
    <t>Unaudited Condensed Consolidated Balance Sheets</t>
  </si>
  <si>
    <t>treasury_stock</t>
  </si>
  <si>
    <t>Treasury stock</t>
  </si>
  <si>
    <t>ppe_leasehold_improvements</t>
  </si>
  <si>
    <t>Leasehold improvements</t>
  </si>
  <si>
    <t>Notes to Consolidated Financial Statements  -  Property and Equipment, Net</t>
  </si>
  <si>
    <t>ppe_furniture_fixtures_and_equipment</t>
  </si>
  <si>
    <t>Furniture, fixtures and equipment</t>
  </si>
  <si>
    <t>ppe_gross</t>
  </si>
  <si>
    <t>Total property and equipment</t>
  </si>
  <si>
    <t>ppe_accumulated_depreciation</t>
  </si>
  <si>
    <t>Less: accumulated depreciation</t>
  </si>
  <si>
    <t>intangibles_capitalized_software</t>
  </si>
  <si>
    <t>Capitalized software</t>
  </si>
  <si>
    <t>intangibles_gross</t>
  </si>
  <si>
    <t>Total capitalized software</t>
  </si>
  <si>
    <t>intangibles_accumulated_amortization</t>
  </si>
  <si>
    <t>Less: accumulated amortization</t>
  </si>
  <si>
    <t>intangibles_other</t>
  </si>
  <si>
    <t>Other intangible assets</t>
  </si>
  <si>
    <t>Total intangible assets</t>
  </si>
  <si>
    <t>intangibles_acquired</t>
  </si>
  <si>
    <t>Acquired intangible assets</t>
  </si>
  <si>
    <t>intangibles_other_indefinite_lived</t>
  </si>
  <si>
    <t>Other indefinite-lived intangible assets</t>
  </si>
  <si>
    <t>Notes to Unaudited Condensed Consolidated Financial Statements  -  Property and Equipment, Net</t>
  </si>
  <si>
    <t>cashflow</t>
  </si>
  <si>
    <t>cf_net_income</t>
  </si>
  <si>
    <t>Net income (loss)</t>
  </si>
  <si>
    <t>Consolidated Statements of Cash Flows</t>
  </si>
  <si>
    <t>cf_deferred_income_taxes</t>
  </si>
  <si>
    <t>Deferred income taxes</t>
  </si>
  <si>
    <t>cf_stock_based_compensation</t>
  </si>
  <si>
    <t>Stock-based compensation expense</t>
  </si>
  <si>
    <t>cf_depreciation_and_amortization</t>
  </si>
  <si>
    <t>Depreciation and amortization</t>
  </si>
  <si>
    <t>cf_accretion_on_marketable_securities</t>
  </si>
  <si>
    <t>Accretion on marketable securities, net</t>
  </si>
  <si>
    <t>cf_change_deferred_revenue</t>
  </si>
  <si>
    <t>Deferred revenue</t>
  </si>
  <si>
    <t>cf_change_accounts_receivable</t>
  </si>
  <si>
    <t>cf_change_deferred_cost_of_revenues</t>
  </si>
  <si>
    <t>cf_change_prepaid_expenses_and_other_assets</t>
  </si>
  <si>
    <t>cf_change_accounts_payable</t>
  </si>
  <si>
    <t>cf_change_accrued_expenses</t>
  </si>
  <si>
    <t>cf_change_noncurrent_assets_and_liabilities</t>
  </si>
  <si>
    <t>Noncurrent assets and liabilities</t>
  </si>
  <si>
    <t>cash_from_operating_activities</t>
  </si>
  <si>
    <t>Net cash provided by operating activities</t>
  </si>
  <si>
    <t>purchases_of_investments</t>
  </si>
  <si>
    <t>Purchases of investments</t>
  </si>
  <si>
    <t>maturities_and_paydowns_of_investments</t>
  </si>
  <si>
    <t>Maturities and paydowns of investments</t>
  </si>
  <si>
    <t>capitalized_software_and_intangibles</t>
  </si>
  <si>
    <t>Capitalized software expense and purchases of intangible assets</t>
  </si>
  <si>
    <t>purchase_of_property_and_equipment</t>
  </si>
  <si>
    <t>Purchase of property and equipment</t>
  </si>
  <si>
    <t>acquisitions_net_of_cash_acquired</t>
  </si>
  <si>
    <t>Acquisitions of companies, net of cash acquired</t>
  </si>
  <si>
    <t>payment_of_acquisition_earn_out</t>
  </si>
  <si>
    <t>Payment of earn-out related to a previous acquisition</t>
  </si>
  <si>
    <t>cash_from_investing_activities</t>
  </si>
  <si>
    <t>Net cash used for investing activities</t>
  </si>
  <si>
    <t>proceeds_from_stock_options_exercise</t>
  </si>
  <si>
    <t>Proceeds from exercise of stock options</t>
  </si>
  <si>
    <t>taxes_paid_net_share_settlement</t>
  </si>
  <si>
    <t>Taxes paid related to net-share settlement of share-based awards</t>
  </si>
  <si>
    <t>cash_from_financing_activities</t>
  </si>
  <si>
    <t>Net cash provided by (used for) financing activities</t>
  </si>
  <si>
    <t>net_change_in_cash</t>
  </si>
  <si>
    <t>Net increase in cash, cash equivalents and restricted cash</t>
  </si>
  <si>
    <t>cash_beginning_of_period</t>
  </si>
  <si>
    <t>Cash, cash equivalents and restricted cash - Beginning of period</t>
  </si>
  <si>
    <t>cash_end_of_period</t>
  </si>
  <si>
    <t>Cash, cash equivalents and restricted cash - End of period</t>
  </si>
  <si>
    <t>cf_other_noncash</t>
  </si>
  <si>
    <t>Other non-cash items</t>
  </si>
  <si>
    <t>proceeds_from_sale_of_capitalized_software</t>
  </si>
  <si>
    <t>Proceeds from sale of capitalized software</t>
  </si>
  <si>
    <t>issuance_of_common_stock_ipo</t>
  </si>
  <si>
    <t>Issuance of common stock in connection with IPO, net</t>
  </si>
  <si>
    <t>repurchases_of_stock_options</t>
  </si>
  <si>
    <t>Repurchases of stock options</t>
  </si>
  <si>
    <t>repurchase_of_common_stock</t>
  </si>
  <si>
    <t>Repurchase of common stock</t>
  </si>
  <si>
    <t>Unaudited Condensed Consolidated Statements of Cash Flows</t>
  </si>
  <si>
    <t>9M FY2024</t>
  </si>
  <si>
    <t>Nine months ended September 30, 2024</t>
  </si>
  <si>
    <t>3M FY2026</t>
  </si>
  <si>
    <t>3M FY2025</t>
  </si>
  <si>
    <t>Three months ended March 31, 2025</t>
  </si>
  <si>
    <t>cf_impairment_capitalized_software</t>
  </si>
  <si>
    <t>Impairment of capitalized software</t>
  </si>
  <si>
    <t>6M FY2025</t>
  </si>
  <si>
    <t>Six months ended June 30, 2025</t>
  </si>
  <si>
    <t>kpis</t>
  </si>
  <si>
    <t>subscription_bookings</t>
  </si>
  <si>
    <t>Subscription bookings</t>
  </si>
  <si>
    <t>Management's Discussion and Analysis of Financial Condition and Results of Operations - Key Operating Metrics</t>
  </si>
  <si>
    <t>Subscription Bookings and Total Bookings. Subscription bookings represent the amounts we receive from a purchase of any Duolingo subscription offering. Total bookings include subscription bookings, income from advertising networks for advertisements served to our users, purchases of the Duolingo English Test, and in-app purchases of virtual goods ("IAPs"). We believe bookings provide an indication of trends in our operating results, including cash flows, that are not necessarily reflected in our</t>
  </si>
  <si>
    <t>total_bookings</t>
  </si>
  <si>
    <t>Total bookings</t>
  </si>
  <si>
    <t>adjusted_ebitda</t>
  </si>
  <si>
    <t>Adjusted EBITDA</t>
  </si>
  <si>
    <t>Management's Discussion and Analysis of Financial Condition and Results of Operations - Non-GAAP Financial Measures</t>
  </si>
  <si>
    <t xml:space="preserve">Adjusted EBITDA. Adjusted EBITDA is defined as net income excluding interest income, income taxes, depreciation and amortization, stock-based compensation expenses related to equity awards, transaction costs related to acquisitions, acquisition earn-out costs and impairment of capitalized software. Beginning in the third quarter of 2025, we updated our definition of Adjusted EBITDA to include integration costs related to acquisitions. We did not incur integration costs in periods prior to 2025. </t>
  </si>
  <si>
    <t>dau</t>
  </si>
  <si>
    <t>Daily active users (DAUs)</t>
  </si>
  <si>
    <t>count</t>
  </si>
  <si>
    <t>Daily active users (DAUs). DAUs are defined as unique users who engage with our Duolingo App or the learning section of our website each calendar day. DAUs are reported for a measurement period by taking the average of the DAUs for each day in that measurement period. The measurement period for DAUs is the three months ended December 31, 2025 and the same period in the prior year where applicable, and the analysis of results is based on those periods. DAUs are a measure of the consistent engagem</t>
  </si>
  <si>
    <t>mau</t>
  </si>
  <si>
    <t>Monthly active users (MAUs)</t>
  </si>
  <si>
    <t xml:space="preserve">Monthly active users (MAUs). MAUs are defined as unique users who engage with our Duolingo App or the learning section of our website each month. MAUs are reported for a measurement period by taking the average of the MAUs for each calendar month in that measurement period. The measurement period for MAUs is the three months ended December 31, 2025 and the same period in the prior year where applicable, and the analysis of results is based on those periods. MAUs are a measure of the size of our </t>
  </si>
  <si>
    <t>paid_subscribers</t>
  </si>
  <si>
    <t>Paid subscribers</t>
  </si>
  <si>
    <t>Paid Subscribers. Paid subscribers are defined as users who pay for access to any Duolingo subscription offering and had an active subscription as of the end of the measurement period. Each unique user account is treated as a single paid subscriber regardless of whether such user purchases multiple subscriptions, and the count of paid subscribers does not include users who are currently on a free trial or who are non-paying members of a family plan.</t>
  </si>
  <si>
    <t>Q4 FY2025</t>
  </si>
  <si>
    <t>Three Months Ended December 31, 2025</t>
  </si>
  <si>
    <t>Subscription Bookings and Total Bookings. Subscription bookings represent the amounts we receive from a purchase of any Duolingo subscription offering. Total bookings include subscription bookings, income from advertising networks for advertisements served to our users, purchases of the Duolingo English Test, and in-app purchases of virtual goods. We believe bookings provide an indication of trends in our operating results, including cash flows, that are not necessarily reflected in our revenues</t>
  </si>
  <si>
    <t>Adjusted EBITDA. Adjusted EBITDA is defined as net income (loss) excluding interest income, income taxes, depreciation and amortization, stock-based compensation expenses related to equity awards, IPO and public company costs, transaction costs related to an acquisition, acquisition earn-out costs, gain on sale of capitalized software and loss on disposal of leasehold improvements. Adjusted EBITDA is used by management to evaluate the financial performance of our business and we present Adjusted</t>
  </si>
  <si>
    <t>Daily active users (DAUs). DAUs are defined as unique users who engage with our Duolingo App or the learning section of our website each calendar day. DAUs are reported for a measurement period by taking the average of the DAUs for each day in that measurement period. The measurement period for DAUs is the three months ended December 31, 2023 and the same period in the prior year where applicable, and the analysis of results is based on those periods. DAUs are a measure of the consistent engagem</t>
  </si>
  <si>
    <t xml:space="preserve">Monthly active users (MAUs). MAUs are defined as unique users who engage with our Duolingo App or the learning section of our website each month. MAUs are reported for a measurement period by taking the average of the MAUs for each calendar month in that measurement period. The measurement period for MAUs is the three months ended December 31, 2023 and the same period in the prior year where applicable, and the analysis of results is based on those periods. MAUs are a measure of the size of our </t>
  </si>
  <si>
    <t>Subscription Bookings and Total Bookings. Subscription bookings represent the amounts we receive from purchases of a subscription to Duolingo Plus. Total bookings represent the amounts we receive from purchases of a subscription to Duolingo Plus, a registration for a Duolingo English Test, an in-app purchase for a virtual good and from advertising networks for advertisements served to our users. We believe bookings provide an indication of trends in our operating results, including cash flows, t</t>
  </si>
  <si>
    <t>Adjusted EBITDA. Adjusted EBITDA is defined as net loss excluding interest (income) expense, net, income tax provision, depreciation and amortization, Initial Public Offering ("IPO") and public company readiness costs, stock-based compensation expenses related to equity awards, tender offer-related costs and other expenses. Adjusted EBITDA is used by management to evaluate the financial performance of our business and we present Adjusted EBITDA because we believe it is helpful in highlighting tr</t>
  </si>
  <si>
    <t>Daily active users (DAUs). DAUs are defined as unique Duolingo users who engage with our mobile language learning application or the language learning section of our website each calendar day. DAUs are reported for a measurement period by taking the average of the DAUs for each day in that measurement period. DAUs are a measure of the consistent engagement of our global user community on Duolingo.</t>
  </si>
  <si>
    <t>Monthly active users (MAUs). MAUs are defined as unique Duolingo users who engage with our mobile language learning application or the language learning section of our website each month. MAUs are reported for a measurement period by taking the average of the MAUs for each calendar month in that measurement period. MAUs are a measure of the size of our global active user community on Duolingo.</t>
  </si>
  <si>
    <t>Paid Subscribers. Paid subscribers are defined as users who pay for access to Duolingo Plus, including subscribers who pay for a family plan, and had an active subscription as of the end of the measurement period. Each unique user account is treated as a single paid subscriber regardless of whether such user purchases multiple subscriptions, and the count of paid subscribers does not include users who are currently on a free trial or who are non-paying members of a family plan.</t>
  </si>
  <si>
    <t>Three Months Ended September 30, 2025</t>
  </si>
  <si>
    <t>Adjusted EBITDA. Adjusted EBITDA is defined as net income excluding interest income, income taxes, depreciation and amortization, stock-based compensation expenses related to equity awards, transaction costs related to acquisitions and acquisition earn-out costs. Beginning in Q3 2025, we expanded our Adjusted EBITDA definition to include integration costs related to acquisitions. Adjusted EBITDA is used by management to evaluate the financial performance of our business and we present Adjusted E</t>
  </si>
  <si>
    <t>Nine Months Ended September 30, 2025</t>
  </si>
  <si>
    <t>Daily active users (DAUs). DAUs are defined as unique users who engage with our Duolingo App or the learning section of our website each calendar day. DAUs are reported for a measurement period by taking the average of the DAUs for each day in that measurement period. The measurement period for DAUs is the three months ended September 30, 2025 and the same period in the prior year where applicable, and the analysis of results is based on those periods. DAUs are a measure of the consistent engage</t>
  </si>
  <si>
    <t>Monthly active users (MAUs). MAUs are defined as unique users who engage with our Duolingo App or the learning section of our website each month. MAUs are reported for a measurement period by taking the average of the MAUs for each calendar month in that measurement period. The measurement period for MAUs is the three months ended September 30, 2025 and the same period in the prior year where applicable, and the analysis of results is based on those periods. MAUs are a measure of the size of our</t>
  </si>
  <si>
    <t>Three Months Ended March 31, 2026</t>
  </si>
  <si>
    <t xml:space="preserve">Adjusted EBITDA. Adjusted EBITDA is defined as net income excluding interest income, income taxes, depreciation and amortization, stock-based compensation expenses related to equity awards, including employer payroll taxes related to equity transactions, and acquisition earn-out costs. Adjusted EBITDA is used by management to evaluate the financial performance of our business and we present Adjusted EBITDA because we believe it is helpful in highlighting trends in our operating results and that </t>
  </si>
  <si>
    <t>Daily active users (DAUs). DAUs are defined as unique users who engage with our Duolingo App or the learning section of our website each calendar day. DAUs are reported for a measurement period by taking the average of the DAUs for each day in that measurement period. The measurement period for DAUs is the three months ended March 31, 2026 and the same period in the prior year where applicable, and the analysis of results is based on those periods. DAUs are a measure of the consistent engagement</t>
  </si>
  <si>
    <t>Three Months Ended June 30, 2026</t>
  </si>
  <si>
    <t>Adjusted EBITDA. Adjusted EBITDA is defined as net income excluding interest income, income taxes, depreciation and amortization, stock-based compensation expenses related to equity awards, including employer payroll taxes related to equity transactions, acquisition transaction and integration costs, acquisition earn-out costs, and impairment of capitalized software. Adjusted EBITDA is used by management to evaluate the financial performance of our business and we present Adjusted EBITDA because</t>
  </si>
  <si>
    <t xml:space="preserve">Daily active users (DAUs). DAUs are defined as unique users who engage with our Duolingo App or the learning section of our website each calendar day. DAUs are reported for a measurement period by taking the average of the DAUs for each day in that measurement period. The measurement period for DAUs is the three months ended June 30, 2026 and the same period in the prior year where applicable, and the analysis of results is based on those periods. DAUs are a measure of the consistent engagement </t>
  </si>
  <si>
    <t>Historicals</t>
  </si>
  <si>
    <t>Reported IS/BS/CF + KPIs, $ in thousands as filed, plus the EBITDA bridge. Check rows turn on any breach.</t>
  </si>
  <si>
    <t>Legend: cited values blue; black = formula; dash = not in corpus.</t>
  </si>
  <si>
    <t>Source</t>
  </si>
  <si>
    <t>INCOME STATEMENT — reported, $000s</t>
  </si>
  <si>
    <t>–</t>
  </si>
  <si>
    <t>BALANCE SHEET — reported, $000s</t>
  </si>
  <si>
    <t>CASH FLOW — reported, $000s</t>
  </si>
  <si>
    <t>OPERATING KPIs — as reported</t>
  </si>
  <si>
    <t>ADJUSTED EBITDA BRIDGE — FY2021–FY2025 + 9M FY2025, $000s</t>
  </si>
  <si>
    <t>Net income</t>
  </si>
  <si>
    <t>income.json / cashflow.json / kpis.json</t>
  </si>
  <si>
    <t>(–) Interest income</t>
  </si>
  <si>
    <t>(+) Income tax expense</t>
  </si>
  <si>
    <t>(+) Depreciation &amp; amortization</t>
  </si>
  <si>
    <t>(+) Stock-based compensation</t>
  </si>
  <si>
    <t>Subtotal (before other disclosed adjustments)</t>
  </si>
  <si>
    <t>Adjusted EBITDA (cited, kpis.json)</t>
  </si>
  <si>
    <t>(+) Other adjustments (computed residual, not tied to cited components)</t>
  </si>
  <si>
    <t>Check: subtotal + residual = cited (OK/BREAK)</t>
  </si>
  <si>
    <t>TIE-OUT / CHECK ROWS</t>
  </si>
  <si>
    <t>BS balances: total_assets = total_liabilities_and_stockholders_equity</t>
  </si>
  <si>
    <t>Cash roll: CF cash_end_of_period = BS cash + restricted cash</t>
  </si>
  <si>
    <t>TIE-OUT REMARKS</t>
  </si>
  <si>
    <t>FY2021–FY2025 columns are as reported; 9M/6M/3M columns are year-to-date spans as filed; quarter columns are discrete quarters from the 10-Q.</t>
  </si>
  <si>
    <t>Cash roll pairs CF ending cash with BS cash at the same reporting date; 9M FY2025 has no BS counterpart in the corpus, so the pair is dash.</t>
  </si>
  <si>
    <t>EBITDA residual row = "Other adjustments (computed residual, not tied to cited components)". The corpus carries no cited rows for transaction costs/earn-outs/impairment components in Adj-EBITDA reconciliation, so it is presented as a labeled computed residual, never as cited data.</t>
  </si>
  <si>
    <t>All values $ in thousands USD unless the row Units says otherwise. Source: 10-K / 10-Q filings (see 02_Sources).</t>
  </si>
  <si>
    <t>Assumptions</t>
  </si>
  <si>
    <t>Driver table. Stage 1 = FY2026-FY2030 explicit. Stage 2 = fade glide. Stage 3 = Gordon terminal. All drivers named.</t>
  </si>
  <si>
    <t>Scenario: base. Bear Δ / Bull Δ columns are REFERENCE ONLY in this snapshot — no formula consumes them (0 consumers, verified); live scenario wiring lands with 16_Scenarios_Sens at P12.4. The switch on 01_Control is recorded but inactive.</t>
  </si>
  <si>
    <t>Driver</t>
  </si>
  <si>
    <t>Group</t>
  </si>
  <si>
    <t>Bear Δ</t>
  </si>
  <si>
    <t>Bull Δ</t>
  </si>
  <si>
    <t>Note</t>
  </si>
  <si>
    <t>REVENUE</t>
  </si>
  <si>
    <t>Paid Subscriber Growth (Annual)</t>
  </si>
  <si>
    <t>revenue</t>
  </si>
  <si>
    <t>pct_growth_annual</t>
  </si>
  <si>
    <t>EST judgment - equal-weight blend of the two cited paid-subscriber observations: FY2025 full-year growth +28.4211% (9,500,000 FY2024 → 12,200,000 FY2025, 10-K FY2025) and H1 FY2026 annualized +8.3647% (12,200,000 → 12,700,000 over two quarters, 10-Q Q2 FY2026, compounded to an annual rate). Labeled EST: forward subscriber growth is judgment, not a filed figure. The two anchors bracket a sharp deceleration, so neither alone is a safe default; the blend is the disclosed middle.</t>
  </si>
  <si>
    <t>Subscription ARPU (per Average Paid Subscriber, Annual)</t>
  </si>
  <si>
    <t>usd_per_subscriber_year</t>
  </si>
  <si>
    <t>FY2025 actual: subscription revenue 873,442 (thousands USD) / average paid subscribers 10,850,000 ((9,500,000 FY2024 + 12,200,000 FY2025) / 2) = $80.5016 per average subscriber per year. Held flat across the horizon (conservative - no assumed price/mix expansion). The H1 FY2026 implied ARPU (~$81.76) is carried as a context output for cross-checking, not as an anchor.</t>
  </si>
  <si>
    <t>Advertising Revenue Growth (Annual)</t>
  </si>
  <si>
    <t>EST judgment - H1 like-for-like YoY: H1 FY2026 advertising 41,666 (Q1 20,614 + Q2 21,052, cited 10-Q) / H1 FY2025 38,485 (9M FY2025 − Q3 FY2025, cited) − 1 = +8.2656%. The half-year like-for-like comparison is the freshest anchor available in the corpus; FY2025 full-year YoY was +45.20%, which extrapolates implausibly.</t>
  </si>
  <si>
    <t>Duolingo English Test Revenue Growth (Annual)</t>
  </si>
  <si>
    <t>EST judgment - H1 like-for-like YoY: H1 FY2026 DET 21,426 (Q1 11,317 + Q2 10,109, cited 10-Q) / H1 FY2025 22,074 (9M FY2025 − Q3 FY2025, cited) − 1 = −2.9356%. The half-year like-for-like comparison is the freshest anchor available in the corpus.</t>
  </si>
  <si>
    <t>In-App Purchase Revenue Growth (Annual)</t>
  </si>
  <si>
    <t>EST judgment - H1 like-for-like YoY: H1 FY2026 IAP 16,448 (Q1 8,446 + Q2 8,002, cited 10-Q) / H1 FY2025 19,832 (9M FY2025 − Q3 FY2025, cited) − 1 = −17.0633%. The half-year like-for-like comparison is the freshest anchor available in the corpus.</t>
  </si>
  <si>
    <t>Other Revenue Growth (Annual)</t>
  </si>
  <si>
    <t>EST judgment - held constant by explicit design (default growth 0): revenue_other is the footnote residual line, FY2025 actual 1,937, i.e. 0.19% of total revenue. The H1 like-for-like observation is +103.57% (952 → 1,938) but off an immaterial base; extrapolating it would distort the revenue mix. Growth 0 = held constant at the cited FY2025 value; the driver remains adjustable and is never dropped from the cascade.</t>
  </si>
  <si>
    <t>Paid Subscriber Fade Floor</t>
  </si>
  <si>
    <t>ratio</t>
  </si>
  <si>
    <t>EST judgment per Phase 9 FP.D: Linear fade floor for subscriber growth over FY2031–FY2035 (default 4.0%), bounded by terminal_growth_rate &lt; fade_floor &lt; paid_subscriber_growth.</t>
  </si>
  <si>
    <t>WORKINGCAPITAL</t>
  </si>
  <si>
    <t>Days Sales Outstanding (DSO)</t>
  </si>
  <si>
    <t>workingCapital</t>
  </si>
  <si>
    <t>days</t>
  </si>
  <si>
    <t>FY2025 actual: Accounts Receivable 162,827 / Revenue 1,037,589 * 365 = 57.28 days</t>
  </si>
  <si>
    <t>Deferred Revenue (% of Revenue)</t>
  </si>
  <si>
    <t>pct_of_revenue</t>
  </si>
  <si>
    <t>FY2025 actual: Deferred Revenues 496,205 / Revenue 1,037,589 = 47.82%</t>
  </si>
  <si>
    <t>Deferred Cost of Revenues (% of Revenue)</t>
  </si>
  <si>
    <t>FY2025 actual: Deferred Cost of Revenues 102,663 / Revenue 1,037,589 = 9.89%</t>
  </si>
  <si>
    <t>Prepaid Expenses and Other Current Assets (% of Revenue)</t>
  </si>
  <si>
    <t>FY2025 actual: Prepaid Expenses 16,582 / Revenue 1,037,589 = 1.60%</t>
  </si>
  <si>
    <t>Income Tax Receivable (% of Revenue)</t>
  </si>
  <si>
    <t>FY2025 actual: Income Tax Receivable 14,067 / Revenue 1,037,589 = 1.36%</t>
  </si>
  <si>
    <t>Days Payable Outstanding (DPO)</t>
  </si>
  <si>
    <t>FY2025 actual: Accounts Payable 7,998 / Cost of Revenue 288,132 * 365 = 10.13 days</t>
  </si>
  <si>
    <t>Accounts Payable (% of Revenue)</t>
  </si>
  <si>
    <t>FY2025 actual: Accounts Payable 7,998 / Revenue 1,037,589 = 0.77%</t>
  </si>
  <si>
    <t>Accrued Expenses and Other Current Liabilities (% of Revenue)</t>
  </si>
  <si>
    <t>FY2025 actual: Accrued Expenses 45,688 / Revenue 1,037,589 = 4.40%</t>
  </si>
  <si>
    <t>Income Tax Payable (% of Revenue)</t>
  </si>
  <si>
    <t>FY2025 actual: Income Tax Payable 1,257 / Revenue 1,037,589 = 0.12%</t>
  </si>
  <si>
    <t>CAPEXDNA</t>
  </si>
  <si>
    <t>Purchases of PP&amp;E (% of Revenue)</t>
  </si>
  <si>
    <t>capexDna</t>
  </si>
  <si>
    <t>FY2025 actual: Purchases of Property and Equipment 18,096 / Revenue 1,037,589 = 1.74%</t>
  </si>
  <si>
    <t>Capitalized Software &amp; Intangibles (% of Revenue)</t>
  </si>
  <si>
    <t>FY2025 actual: Capitalized software &amp; intangibles 9,303 / Revenue 1,037,589 = 0.90%</t>
  </si>
  <si>
    <t>Total Capex (% of Revenue)</t>
  </si>
  <si>
    <t>FY2025 actual: Total capex (PP&amp;E 18,096 + Software 9,303 = 27,399) / Revenue 1,037,589 = 2.64%</t>
  </si>
  <si>
    <t>PP&amp;E Depreciation (% of Revenue)</t>
  </si>
  <si>
    <t>FY2025 actual: PP&amp;E depreciation 5,195 / Revenue 1,037,589 = 0.50%</t>
  </si>
  <si>
    <t>Intangible Amortization (% of Revenue)</t>
  </si>
  <si>
    <t>FY2025 actual: Intangible amortization 9,196 / Revenue 1,037,589 = 0.89%</t>
  </si>
  <si>
    <t>PP&amp;E Depreciation (% of Gross PP&amp;E)</t>
  </si>
  <si>
    <t>pct_of_gross_ppe</t>
  </si>
  <si>
    <t>FY2025 actual: PP&amp;E depreciation 5,195 / Gross PP&amp;E 57,868 = 8.98%</t>
  </si>
  <si>
    <t>SBC (Stage 1/2 fade appears below)</t>
  </si>
  <si>
    <t>Stock-Based Compensation (% of Revenue)</t>
  </si>
  <si>
    <t>sbc</t>
  </si>
  <si>
    <t>FY2025 actual: Stock-based compensation 137,437 / Revenue 1,037,589 = 13.25%</t>
  </si>
  <si>
    <t>SBC Fade End (% of Revenue)</t>
  </si>
  <si>
    <t>EST judgment per Phase 9 FP.C: Steady-state terminal SBC-to-revenue ratio endpoint (default 8.0%, matching SBC_FADE_STEADY_STATE_PCT), promoted into base FY2031–FY2035 path.</t>
  </si>
  <si>
    <t>COSTS</t>
  </si>
  <si>
    <t>Cost of Revenue (% of Revenue)</t>
  </si>
  <si>
    <t>costs</t>
  </si>
  <si>
    <t>FY2025 actual: Cost of revenue 288,132 / Revenue 1,037,589 = 27.7694%. Anchored on FY2025 (the last fully-reported fiscal year) per the P3 contract's own cost-ratio basis.</t>
  </si>
  <si>
    <t>Research &amp; Development (% of Revenue)</t>
  </si>
  <si>
    <t>FY2025 actual: Research and development 306,323 / Revenue 1,037,589 = 29.5226%.</t>
  </si>
  <si>
    <t>Sales &amp; Marketing (% of Revenue)</t>
  </si>
  <si>
    <t>FY2025 actual: Sales and marketing 125,677 / Revenue 1,037,589 = 12.1124%.</t>
  </si>
  <si>
    <t>General &amp; Administrative (% of Revenue)</t>
  </si>
  <si>
    <t>FY2025 actual: General and administrative 181,887 / Revenue 1,037,589 = 17.5298%.</t>
  </si>
  <si>
    <t>Other Income, Net (% of Revenue)</t>
  </si>
  <si>
    <t>FY2025 actual: Other income, net 1,609 / Revenue 1,037,589 = 0.1551%.</t>
  </si>
  <si>
    <t>TAX</t>
  </si>
  <si>
    <t>Effective Tax Rate (Normalized Structural)</t>
  </si>
  <si>
    <t>tax</t>
  </si>
  <si>
    <t>pct_of_pretax</t>
  </si>
  <si>
    <t>EST judgment - normalized structural rate, NOT an observed effective rate. FY2025's effective rate of −126.997% (tax −231,655 on pretax 182,410) is a one-time valuation-allowance release and is prohibited as an anchor. FY2021 (−0.2952%) and FY2022 (−1.5997%) are not meaningful because both years had pretax losses. FY2023 9.6192% and FY2024 13.4225% are the only two positive-rate years in the corpus; the default takes FY2024, the most recent undistorted fiscal year (tax 13,732 / pretax 102,306 = 13.4225%). The rate sits below the 21% US federal statutory rate because of the valuation-allowance and foreign-tax-credit position - a modeling judgment the user can override.</t>
  </si>
  <si>
    <t>FINANCING</t>
  </si>
  <si>
    <t>Share Repurchases (Annual)</t>
  </si>
  <si>
    <t>financing</t>
  </si>
  <si>
    <t>EST judgment - H1 FY2026 cited repurchases 69,603 (6M FY2026 YTD cash-flow row; Q1 24,331 + Q2 45,272, an accelerating pace) × 2 = 139,206 annualized. Held constant in absolute terms across the horizon - conservative, so buyback intensity declines as revenue grows. Stored as a positive magnitude; the engine applies the financing-outflow sign explicitly.</t>
  </si>
  <si>
    <t>Proceeds from Stock Option Exercise (Annual)</t>
  </si>
  <si>
    <t>FY2025 actual: proceeds from stock option exercise 12,570 (cited 10-K FY2025 consolidated statement of cash flows, financing activities). Held constant across the horizon - EST. Stored as a positive magnitude; the engine applies the financing-inflow sign explicitly.</t>
  </si>
  <si>
    <t>Taxes Paid on Net Share Settlement (Annual)</t>
  </si>
  <si>
    <t>FY2025 actual magnitude: taxes paid related to net share settlement of equity awards 41,617 (cited 10-K FY2025 cash-flow statement, where it is signed −41,617 as a financing outflow). Held constant across the horizon - EST. Stored as a positive magnitude; the engine applies the financing-outflow sign explicitly.</t>
  </si>
  <si>
    <t>Interest Income Rate (% of Average Invested Cash)</t>
  </si>
  <si>
    <t>pct_of_average_invested_cash</t>
  </si>
  <si>
    <t>FY2025 actual: interest income 45,231 / average invested cash 1,125,751 - where invested cash is cash and cash equivalents + short-term investments + long-term investments, averaged across the FY2024 balance (975,937) and the FY2025 balance (1,275,565) - = 4.0179%. Drives the P3.2 income-statement ↔ balance-sheet interest-income linkage.</t>
  </si>
  <si>
    <t>MARKET (Stage 3 inputs)</t>
  </si>
  <si>
    <t>Risk-Free Rate (10Y Treasury)</t>
  </si>
  <si>
    <t>market</t>
  </si>
  <si>
    <t>pct_decimal</t>
  </si>
  <si>
    <t>MKT snapshot as of 2026-09-01 via FRED (Federal Reserve Bank of St. Louis), series DGS10 - Market Yield on U.S. Treasury Securities at 10-Year Constant Maturity, Quoted on an Investment Basis: 4.79%. 2026-09-01 is the posted official observation (the release flagged as pending in prior snapshot notes is now published). Bear/bull deltas move the discount rate inversely to equity risk appetite (bear = higher required return).</t>
  </si>
  <si>
    <t>Levered Equity Beta</t>
  </si>
  <si>
    <t>multiple</t>
  </si>
  <si>
    <t>MKT snapshot as of 2026-08-31: Bottom-up MEAN unlevered beta = 1.49 across locked peer set (Spotify, Roblox, Netflix). Per-peer 60-month OLS regressions against S&amp;P 500 (2021-09 to 2026-08) and Hamada unlevering on filed FY2025 D/E: (1) Spotify (SPOT): levered beta = 1.5860, D/E = 1.64% (EUR1,956M total debt / $119,529M market cap), t = 21.0% -&gt; unlevered beta = 1.5657 (1.57); (2) Roblox (RBLX): levered beta = 1.4742, D/E = 3.12% ($1,788M total debt / $57,398M market cap), t = 21.0% -&gt; unlevered beta = 1.4387 (1.44); (3) Netflix (NFLX): levered beta = 1.5258, D/E = 4.29% ($16,976M total debt / $395,870M market cap), t = 13.7% -&gt; unlevered beta = 1.4713 (1.47). Peer statistics: mean = 1.4919 (rounded to step 0.01 = 1.49); span = 0.1270 (0.13), about 8.6% of the mean, so dispersion is tight and contains no outlier. MEAN, not median, is the basis: at n = 3 the median is definitionally the middle observation (Netflix 1.4713), so it quotes one peer rather than summarising the set; the median outlier-resistance advantage has nothing to resist here. Peer regression quality independently favours the peer set: R2 = 30.38% (SPOT), 28.85% (NFLX), 12.94% (RBLX). Duolingo is debt-free (D = 0), so the mean unlevered asset beta (1.49) applies directly without relevering (no Hamada adjustment applies). Cross-check disclosed alongside and NOT used: DUOL own 60-observation regression (2021-09 to 2026-08 OLS beta = 0.890488, rounded to 0.89, t = 1.72, R2 = 4.83%, stderr = 0.519187 against the S&amp;P 500 Index). That own regression is unreliable and is rejected on its own statistics: R2 = 4.83% means the market explains under 5% of Duolingo return variance, and the standard error puts the one-sigma band at roughly 0.37-1.41. Bear/bull deltas widen or narrow the systematic-risk input.</t>
  </si>
  <si>
    <t>Equity Risk Premium (US)</t>
  </si>
  <si>
    <t>MKT snapshot as of 2026-09-01 via Aswath Damodaran (NYU Stern) - trailing 3-month average of Damodaran's published monthly implied ERP for the United States (trailing 12-month with adjusted payout). Trailing 3-month monthly prints: 4.30% (2026-07-01), 4.28% (2026-08-01), and 4.14% (2026-09-01); unweighted average = (4.30% + 4.28% + 4.14%) / 3 = 4.2400%, rounded to driver step (0.0005) = 4.2500% (0.0425). Smoothing rule: value is the mechanical unweighted average of the trailing 3 monthly prints rounded to the driver step (0.0005). The annual January 5, 2026 country risk premium table (4.46%) is retired to eliminate structural staleness (Finding-C lineage remediation). Cross-check against Damodaran's historical implied-ERP series: 4.33% (2024) and 4.23% (2025). Series URL: https://pages.stern.nyu.edu/~adamodar/pc/implprem/ERPbymonth.xlsx. Bear/bull deltas widen or narrow the premium.</t>
  </si>
  <si>
    <t>Terminal Growth Rate (Perpetuity)</t>
  </si>
  <si>
    <t>EST judgment - long-run perpetuity growth for the Gordon terminal value. Set at 2.5%: strictly below the Base WACC (11.1225%, ~862.25bps of Gordon headroom) and below the long-run US nominal GDP growth ceiling of ~4.0% (~2.0% real + ~2.0% inflation), so the perpetuity never implies Duolingo outgrowing the economy that hosts it. Max bound is TERMINAL_GROWTH_BOUNDS.max (0.04) from constants.js. Not an MKT input - no market price reveals long-run growth - so it carries no as-of date. Contract-reading note: the P4.1 contract text says this driver is 'bounded below US nominal GDP growth'; that reads as an inversion of the standard Gordon ceiling (a perpetuity cannot grow faster than nominal GDP forever), so it is implemented here as an UPPER bound.</t>
  </si>
  <si>
    <t>Market Share Price (Snapshot Close)</t>
  </si>
  <si>
    <t>usd_per_share</t>
  </si>
  <si>
    <t>MKT snapshot as of 2026-09-02 via stockanalysis.com: official closing price $157.85 (open 156.24, high 158.47, low 154.30, volume 1,294,851). 2026-09-02 is the last COMPLETED trading session close; 2026-09-03 intraday print is excluded per the driver's close-only convention and disclosed as such. Scenario deltas remain 0: benchmark price immobility rationale unchanged.</t>
  </si>
  <si>
    <t>Diluted Shares Outstanding</t>
  </si>
  <si>
    <t>MKT snapshot as of 2026-08-06 from the latest cited filing - Duolingo, Inc. Form 10-Q for the quarter ended 2026-06-30 (accession 0001628280-26-053603, filed 2026-08-06), Note 11 Earnings Per Share: 'Denominator for dilutive net income per common share - weighted-average shares' = 50,031 thousand for the three months ended June 30, 2026, i.e. 50,031,000 diluted shares. Diluted (not basic) is used because a DCF values the whole enterprise, including the dilutive effect of outstanding equity awards. Cross-check: the same filing's cover page reports basic shares outstanding of 40,387,012 Class A + 6,399,257 Class B = 46,786,269 as of August 4, 2026; the ~3.24M gap is treasury-stock-method dilution. Scenario deltas are 0: the share count is a filing fact, not an operating-scenario variable. Held constant across the forecast horizon - the P4 contract sanctions no share-count forecast driver. Subordinated: the valuation denominator is Cover_SharesDiluted (point-in-time FD 50,061,458 per the P10.4 schedule); this 50,031,000 driver is a benchmark (MKT) input only.</t>
  </si>
  <si>
    <t>SBC Issuance Price (Frozen)</t>
  </si>
  <si>
    <t>FROZEN issuance reference price for share issuance (SBC / issuance price). P10.3 contract: the benchmark is a benchmark-only input and must never move share issuance, terminal dilution, or intrinsic per-share value, so issuance uses this separate frozen driver. Provenance: MKT snapshot as of 2026-09-02 via stockanalysis.com, official closing price .85. Held constant across all three scenarios (deltas 0) because issuance is a share-count mechanic, not a valuation input.</t>
  </si>
  <si>
    <t>Growth Fade Shape</t>
  </si>
  <si>
    <t>linear</t>
  </si>
  <si>
    <t>shape</t>
  </si>
  <si>
    <t>EST judgment per Phase 9 FP.B: Linear fade trajectory for the FY2031–FY2035 glide stage (v1; geometric named as future extension, not a silent alternative).</t>
  </si>
  <si>
    <t>STAGE STRUCTURE — consumed by name from 15_DCF (contract §4: 15_DCF pulls Stage 1/2/3 periods from 04)</t>
  </si>
  <si>
    <t>Stage 1 (explicit) — periods</t>
  </si>
  <si>
    <t>Stage 1 — first period</t>
  </si>
  <si>
    <t>Stage 1 — last period</t>
  </si>
  <si>
    <t>FY2030</t>
  </si>
  <si>
    <t>Stage 1 — last calendar year (numeric, so adjacency can be tested arithmetically)</t>
  </si>
  <si>
    <t>Stage 2 (fade glide) — periods</t>
  </si>
  <si>
    <t>Stage 2 — first period</t>
  </si>
  <si>
    <t>FY2031</t>
  </si>
  <si>
    <t>Stage 2 — last period</t>
  </si>
  <si>
    <t>FY2035</t>
  </si>
  <si>
    <t>Stage 2 — first calendar year (numeric, so adjacency can be tested arithmetically)</t>
  </si>
  <si>
    <t>Stage 3 (terminal) — basis</t>
  </si>
  <si>
    <t>Gordon on FY2035, grown from the normalized terminal FCFF at the Stage 3 growth rate</t>
  </si>
  <si>
    <t>Stage 1 and Stage 2 period boundaries match the shipped 15_DCF column headers; the assertion is in verify_p12_3 (Task 2).</t>
  </si>
  <si>
    <t>User Model</t>
  </si>
  <si>
    <t>Historical DAU/MAU/paid subscribers + conversion/engagement. Forecast paid subscribers FY2026-FY2030 from engine seam.</t>
  </si>
  <si>
    <t>Legend: cited blue; black = formula; dash = not modeled/cited. DAU/MAU forecasts are not modeled by the engine — disclosing rather than filling.</t>
  </si>
  <si>
    <t>Paid subscribers (cited)</t>
  </si>
  <si>
    <t>DAUs (cited)</t>
  </si>
  <si>
    <t>MAUs (cited)</t>
  </si>
  <si>
    <t>Conversion: paid subscribers ÷ MAU</t>
  </si>
  <si>
    <t>Engagement: DAU ÷ MAU</t>
  </si>
  <si>
    <t>FORECAST — paid subscribers FY2026–FY2030</t>
  </si>
  <si>
    <t>FY2027</t>
  </si>
  <si>
    <t>FY2028</t>
  </si>
  <si>
    <t>FY2029</t>
  </si>
  <si>
    <t>Paid subscribers — beginning</t>
  </si>
  <si>
    <t>Paid subscribers — end</t>
  </si>
  <si>
    <t>Paid subscribers — average</t>
  </si>
  <si>
    <t>Growth rate (seg)</t>
  </si>
  <si>
    <t>Conversion: paid ÷ MAU — FY2025 (MAU is last filed for FY2025, not Q1/Q2 FY2026)</t>
  </si>
  <si>
    <t>Engagement: DAU ÷ MAU — FY2025 (MAU is last filed for FY2025, not Q1/Q2 FY2026)</t>
  </si>
  <si>
    <t>Paid ÷ DAU — Q2 FY2026 (both metrics filed for Q2; MAU is not)</t>
  </si>
  <si>
    <t>Revenue &amp; Bookings</t>
  </si>
  <si>
    <t>Segment revenue forecast with hybrid FY2026 seam; deferred revenue roll-forward with visible bookings-vs-recognized link. Stage 1 explicit FY2026–FY2030.</t>
  </si>
  <si>
    <t>FY2026 = H1 cited (Q1+Q2) + H2 engine-implied. FY2027 uses the engine seam (H2 annualization). FY2028+ = driver growth from FY27. Bookings = recognized revenue_subscription + Δdeferred revenue.</t>
  </si>
  <si>
    <t>Revenue Build</t>
  </si>
  <si>
    <t xml:space="preserve">  FY2026 H1 actual (Q1+Q2 cited)</t>
  </si>
  <si>
    <t xml:space="preserve">  FY2026 H2 (engine-implied)</t>
  </si>
  <si>
    <t xml:space="preserve">  FY2027 seam rate (engine hybrid transition)</t>
  </si>
  <si>
    <t xml:space="preserve">  Engine cross-check</t>
  </si>
  <si>
    <t xml:space="preserve">  Residual vs engine (&lt;= tolerance)</t>
  </si>
  <si>
    <t>Advertising</t>
  </si>
  <si>
    <t>Duolingo English Test</t>
  </si>
  <si>
    <t>In-app purchases</t>
  </si>
  <si>
    <t>REVENUE TOTAL</t>
  </si>
  <si>
    <t>DEFERRED REVENUE ROLL-FORWARD (opening + additions − recognition = ending)</t>
  </si>
  <si>
    <t>Deferred revenue — opening balance</t>
  </si>
  <si>
    <t>Additions — deferrals on subscription bookings (implied)</t>
  </si>
  <si>
    <t>Recognition — deferred revenue recognized</t>
  </si>
  <si>
    <t>Deferred revenue — ending balance (driver-based)</t>
  </si>
  <si>
    <t>Deferred revenue — ending balance (roll-derived)</t>
  </si>
  <si>
    <t>Foot check — opening + additions − recognition = ending (roll wiring; OK/BREAK)</t>
  </si>
  <si>
    <t xml:space="preserve">  ΔDR vs implied (cross-check)</t>
  </si>
  <si>
    <t>SUBSCRIPTION BOOKINGS BRIDGE (live formulas; bookings implied = recognized subscription revenue + dDR)</t>
  </si>
  <si>
    <t>Subscription bookings (implied) = rev + ΔDR</t>
  </si>
  <si>
    <t>Recognized subscription revenue</t>
  </si>
  <si>
    <t>Δdeferred revenue</t>
  </si>
  <si>
    <t>Costs &amp; Opex</t>
  </si>
  <si>
    <t>Margin build on revenue. Drivers as % of revenue. ML-cloud disclosed, SBC memo.</t>
  </si>
  <si>
    <t>FY2026 is hybrid: H1 cited actuals (Q1+Q2) + H2 modeled at the driver rate on H2 revenue (RevTotal_FY2026 minus H1 revenue). FY2027+ have no actuals to join and use the full-year driver rate x full-year revenue. ML-cloud has no cited corpus split — disclosed, not fabricated.</t>
  </si>
  <si>
    <t>Build</t>
  </si>
  <si>
    <t>HYBRID PROVENANCE — FY2026 H1 actuals (Q1+Q2, cited)</t>
  </si>
  <si>
    <t>Cost of revenue — H1 actual</t>
  </si>
  <si>
    <t>R&amp;D — H1 actual</t>
  </si>
  <si>
    <t>S&amp;M — H1 actual</t>
  </si>
  <si>
    <t>G&amp;A — H1 actual</t>
  </si>
  <si>
    <t>Other income, net — H1 actual</t>
  </si>
  <si>
    <t>Revenue — H1 actual</t>
  </si>
  <si>
    <t>Cost of revenue</t>
  </si>
  <si>
    <t>Gross margin %</t>
  </si>
  <si>
    <t>R&amp;D expense</t>
  </si>
  <si>
    <t>S&amp;M expense</t>
  </si>
  <si>
    <t>G&amp;A expense</t>
  </si>
  <si>
    <t>Total opex</t>
  </si>
  <si>
    <t>Operating income</t>
  </si>
  <si>
    <t>Other income, net</t>
  </si>
  <si>
    <t>ML-cloud costs (no cited split — disclosed)</t>
  </si>
  <si>
    <t>SBC expenses (memo, cross-check)</t>
  </si>
  <si>
    <t>ENGINE CROSS-CHECK — regen-pinned as-of 2026-10-06 (build-time equality asserted; rerun builder to regenerate)</t>
  </si>
  <si>
    <t xml:space="preserve">  Gross profit (engine)</t>
  </si>
  <si>
    <t xml:space="preserve">  Operating income (engine)</t>
  </si>
  <si>
    <t xml:space="preserve">  R&amp;D (engine)</t>
  </si>
  <si>
    <t xml:space="preserve">  SBC (engine)</t>
  </si>
  <si>
    <t>Working Capital</t>
  </si>
  <si>
    <t>Operating assets/liabilities on revenue drivers. Deferred revenues linked to 06 roll-forward. Residuals shown.</t>
  </si>
  <si>
    <t>AR = revenue x DSO/365; other WC lines = driver % of revenue. DR line linked to 06 implied EOP.</t>
  </si>
  <si>
    <t>Accounts receivable (AR)</t>
  </si>
  <si>
    <t>Prepaid expenses</t>
  </si>
  <si>
    <t>Total WC assets</t>
  </si>
  <si>
    <t>Accrued expenses &amp; other CL</t>
  </si>
  <si>
    <t>Total WC liabilities</t>
  </si>
  <si>
    <t>Net working capital</t>
  </si>
  <si>
    <t xml:space="preserve">  WC total assets (engine)</t>
  </si>
  <si>
    <t xml:space="preserve">  Total WC liabilities (engine)</t>
  </si>
  <si>
    <t>OPENING BASIS (cited Q2 FY2026, not an engine cross-check row) — Net working capital at Q2 FY2026; the FY2026 change rolls off this</t>
  </si>
  <si>
    <t>PF1 RECONCILIATION — why the accounts-payable basis is days, not revenue % (this is the number B1 corrected)</t>
  </si>
  <si>
    <t>Accounts payable, FY2026 — engine basis: DPO days ÷ 365 × cost of revenue</t>
  </si>
  <si>
    <t>Accounts payable, FY2026 — superseded basis: driver % × revenue (payables HIGHER)</t>
  </si>
  <si>
    <t>Basis difference (superseded payables − engine payables)</t>
  </si>
  <si>
    <t>Net working capital, FY2026 — SHIPPED and engine production (row 17 above)</t>
  </si>
  <si>
    <t>Net working capital, FY2026 — superseded (revenue-%) payables basis: MORE negative, because larger payables</t>
  </si>
  <si>
    <t>Reconciliation difference (production − superseded basis) = the payables difference</t>
  </si>
  <si>
    <t>The headline net working capital used everywhere in this workbook is the PRODUCTION figure (row 17). The superseded-basis figure is shown once, here, as the reconciliation only, and nothing consumes it.</t>
  </si>
  <si>
    <t>Capex &amp; D&amp;A</t>
  </si>
  <si>
    <t>Roll-forwards: PP&amp;E and intangibles. Derivation from driver %-of-revenue. Residuals shown.</t>
  </si>
  <si>
    <t>Capex rows driven by driver % x revenue; depreciation / amortization modeled at driver % x revenue; BOP/EOP cited through FY2025.</t>
  </si>
  <si>
    <t>Capex — PP&amp;E (capex_ppe_pct x revenue)</t>
  </si>
  <si>
    <t>Capitalized software (pct x revenue)</t>
  </si>
  <si>
    <t>Total capex (check vs % of revenue)</t>
  </si>
  <si>
    <t>Check: total capex vs Assumption_capex_total_pct_revenue x revenue</t>
  </si>
  <si>
    <t>Depreciation (capex D&amp;A, driver % x revenue)</t>
  </si>
  <si>
    <t>Amortization (driver % x revenue)</t>
  </si>
  <si>
    <t>D&amp;A total (dep + amortization; cross-check)</t>
  </si>
  <si>
    <t>PP&amp;E, net — opening (Q2 FY2026 cited for FY2026)</t>
  </si>
  <si>
    <t>PP&amp;E, net — additions (capex PP&amp;E)</t>
  </si>
  <si>
    <t>PP&amp;E, net — depreciation</t>
  </si>
  <si>
    <t>PP&amp;E, net — closing</t>
  </si>
  <si>
    <t>Intangibles, net — opening (Q2 FY2026 cited for FY2026)</t>
  </si>
  <si>
    <t>Intangibles — capitalized software</t>
  </si>
  <si>
    <t>Intangibles — amortization</t>
  </si>
  <si>
    <t>Intangibles, net — closing</t>
  </si>
  <si>
    <t xml:space="preserve">  Total capex (engine % of rev)</t>
  </si>
  <si>
    <t>CASH-FLOW ADD-BACK BASIS — the engine rolls H2 only in the hybrid year from the cited Q2 FY2026 balance; FY2027+ are full year (shaded rows feed 14_CF and the 13_BS roll)</t>
  </si>
  <si>
    <t>Capex — PP&amp;E, cash-flow basis (FY2026 = H2 only)</t>
  </si>
  <si>
    <t>Capitalized software, cash-flow basis (FY2026 = H2 only)</t>
  </si>
  <si>
    <t>Depreciation, cash-flow basis (FY2026 = H2 only)</t>
  </si>
  <si>
    <t>Amortization, cash-flow basis (FY2026 = H2 only)</t>
  </si>
  <si>
    <t>SBC &amp; Shares</t>
  </si>
  <si>
    <t>Stock-based compensation on revenue target with fade; equity pool items cited through FY2025; diluted count anchored to P10.4 point-in-time FD.</t>
  </si>
  <si>
    <t>SBC fade to 8% applies once horizon exceeds 5 years (Stage 2); in the FY2026–FY2030 explicit window, SBC runs at target % of revenue.</t>
  </si>
  <si>
    <t>SBC expense (target % x revenue)</t>
  </si>
  <si>
    <t>SBC % of revenue (check row)</t>
  </si>
  <si>
    <t>Repurchases of common stock (cited FY2025 driver; held flat)</t>
  </si>
  <si>
    <t>Proceeds from stock option exercises (cited FY2025; held flat)</t>
  </si>
  <si>
    <t>Taxes paid for net share settlement (cited FY2025; held flat)</t>
  </si>
  <si>
    <t>Diluted share count (point-in-time FD, P10.4)</t>
  </si>
  <si>
    <t xml:space="preserve">  note: DCF terminal period share roll is produced by the P10.4 model at P12.3 — not foreshadowed here</t>
  </si>
  <si>
    <t xml:space="preserve">  SBC (engine projectSbc)</t>
  </si>
  <si>
    <t>CASH-FLOW ADD-BACK BASIS — FY2026 = H2 only (half the annual driver, matching the engine hybrid); FY2027+ = full year. Shaded rows feed 14_CF and the 13_BS equity roll.</t>
  </si>
  <si>
    <t>SBC, cash-flow add-back basis (FY2026 = H2 only)</t>
  </si>
  <si>
    <t>Option exercise proceeds, cash-flow basis (FY2026 = H2 only)</t>
  </si>
  <si>
    <t>Taxes paid for net share settlement, cash-flow basis (FY2026 = H2 only)</t>
  </si>
  <si>
    <t>Repurchases of common stock, cash-flow basis (FY2026 = H2 only)</t>
  </si>
  <si>
    <t>Taxes</t>
  </si>
  <si>
    <t>Effective tax-rate driven provision. Hybrid FY2026 (H1 cited actual + H2 modeled). No cash/deferred split is modeled — the provision row is the whole tax line.</t>
  </si>
  <si>
    <t>FY2026 hybrid: H1 tax is the filed actual (Q1+Q2); H2 applies Assumption_effective_tax_rate to H2 pretax (FY pretax minus H1 pretax). FY2027+ apply the rate to full-year pretax. Benefit years (pretax &lt;= 0) show 0 — no rate interpretation, not a dash. Interest income inside pretax lands with the statements at P12.3.</t>
  </si>
  <si>
    <t>Income tax expense — H1 actual</t>
  </si>
  <si>
    <t>Pretax income — H1 actual</t>
  </si>
  <si>
    <t>Pretax income (from 12_IS)</t>
  </si>
  <si>
    <t>Income tax provision (total tax line; no cash/deferred split modeled)</t>
  </si>
  <si>
    <t>Realized effective tax rate (full period; hybrid by construction, not the driver)</t>
  </si>
  <si>
    <t>H2 modeled rate check vs Assumption_effective_tax_rate (H2 tax ÷ H2 pretax)</t>
  </si>
  <si>
    <t>One-off adjustments (disclosed; none modeled)</t>
  </si>
  <si>
    <t xml:space="preserve">  Pretax (engine)</t>
  </si>
  <si>
    <t xml:space="preserve">  Income tax (engine)</t>
  </si>
  <si>
    <t xml:space="preserve">  Effective tax-rate engine vs driver</t>
  </si>
  <si>
    <t>Income Statement</t>
  </si>
  <si>
    <t>Fully linked: revenue and costs reference 06/07 by name; tax references 11_Taxes; interest income is a live closed-form solve on average invested cash (no circularity).</t>
  </si>
  <si>
    <t>FY2026 is hybrid — H1 cited actuals + H2 modeled at the driver rates. Interest income solves on average invested cash (cash + short-term + long-term investments), tax-effected, exactly as the engine does.</t>
  </si>
  <si>
    <t>Revenue</t>
  </si>
  <si>
    <t>Operating income (EBIT)</t>
  </si>
  <si>
    <t>BELOW THE LINE</t>
  </si>
  <si>
    <t>Pretax income</t>
  </si>
  <si>
    <t>Income tax</t>
  </si>
  <si>
    <t>Net margin %</t>
  </si>
  <si>
    <t xml:space="preserve">  Revenue (engine)</t>
  </si>
  <si>
    <t xml:space="preserve">  EBIT (engine)</t>
  </si>
  <si>
    <t xml:space="preserve">  Interest income (engine)</t>
  </si>
  <si>
    <t xml:space="preserve">  Net income (engine)</t>
  </si>
  <si>
    <t>INTEREST INCOME SOLVE — closed form on average invested cash (tax-effected). FY2026 solves H2 on H2-only flows and adds H1 filed interest.</t>
  </si>
  <si>
    <t>Interest solve</t>
  </si>
  <si>
    <t>Opening cash for the solved period (FY2026 = cited Q2 FY2026)</t>
  </si>
  <si>
    <t>Pre-interest operating income (FY2026 = H2 only)</t>
  </si>
  <si>
    <t>Pre-interest other income (FY2026 = H2 only)</t>
  </si>
  <si>
    <t>Pre-interest net income = (operating income + other income) x (1 - tax rate)</t>
  </si>
  <si>
    <t>D&amp;A add-back (cash-flow basis)</t>
  </si>
  <si>
    <t>SBC add-back (cash-flow basis)</t>
  </si>
  <si>
    <t>Change in net working capital (FY2026 = H2 only: NWC_FY2026 - Q2 NWC)</t>
  </si>
  <si>
    <t>Pre-interest cash from operations</t>
  </si>
  <si>
    <t>Pre-interest cash from investing</t>
  </si>
  <si>
    <t>Pre-interest cash from financing</t>
  </si>
  <si>
    <t>Pre-interest change in cash</t>
  </si>
  <si>
    <t>Pre-interest ending cash</t>
  </si>
  <si>
    <t>Opening invested cash (opening cash + short-term + long-term investments)</t>
  </si>
  <si>
    <t>Pre-interest average invested cash</t>
  </si>
  <si>
    <t>Effective interest rate applied (FY2026 = rate / 2)</t>
  </si>
  <si>
    <t>Interest income solved on pre-interest average invested cash</t>
  </si>
  <si>
    <t>H1 filed interest income (hybrid only)</t>
  </si>
  <si>
    <t>H1 filed net income (hybrid only, cited)</t>
  </si>
  <si>
    <t>Solved interest income — engine parity (cited)</t>
  </si>
  <si>
    <t>Check — live solve equals the engine-parity solved interest (OK/BREAK)</t>
  </si>
  <si>
    <t>Interest income (total, H1 filed + live solved)</t>
  </si>
  <si>
    <t>H1 filed pretax income (hybrid only, cited)</t>
  </si>
  <si>
    <t>Check — FY2026: H1 filed pretax + H2 (operating + other + solved interest) = full-year pretax (OK/BREAK)</t>
  </si>
  <si>
    <t>Balance Sheet</t>
  </si>
  <si>
    <t>Fully linked: cash from 14_CF, working capital from 08, PP&amp;E/intangibles from 09, equity rolled from the cited Q2 FY2026 balances. Held-constant lines are cited Q2 FY2026 with no forecast driver.</t>
  </si>
  <si>
    <t>FY2026 opens from the cited Q2 FY2026 balance sheet and rolls H2 only; FY2027+ roll the prior year end.</t>
  </si>
  <si>
    <t>CURRENT ASSETS</t>
  </si>
  <si>
    <t>CITED Q2 FY2026 OPENING BALANCE BASIS — hybrid roll source and held-constant lines (no forecast driver)</t>
  </si>
  <si>
    <t>Cited Q2 FY2026 — Cash and cash equivalents</t>
  </si>
  <si>
    <t>Cited Q2 FY2026 — Short-term investments</t>
  </si>
  <si>
    <t>Cited Q2 FY2026 — Long-term investments</t>
  </si>
  <si>
    <t>Cited Q2 FY2026 — Operating lease right-of-use assets</t>
  </si>
  <si>
    <t>Cited Q2 FY2026 — Goodwill</t>
  </si>
  <si>
    <t>Cited Q2 FY2026 — Restricted cash</t>
  </si>
  <si>
    <t>Cited Q2 FY2026 — Deferred tax assets, net</t>
  </si>
  <si>
    <t>Cited Q2 FY2026 — Other assets</t>
  </si>
  <si>
    <t>Cited Q2 FY2026 — Long-term operating lease liability</t>
  </si>
  <si>
    <t>Cited Q2 FY2026 — Deferred tax liabilities, net</t>
  </si>
  <si>
    <t>Cited Q2 FY2026 — Common stock</t>
  </si>
  <si>
    <t>Cited Q2 FY2026 — Additional paid-in capital</t>
  </si>
  <si>
    <t>Cited Q2 FY2026 — Retained earnings / accumulated deficit</t>
  </si>
  <si>
    <t>Cited Q2 FY2026 — Treasury stock</t>
  </si>
  <si>
    <t>Short-term investments (held constant, cited Q2 FY2026)</t>
  </si>
  <si>
    <t>NON-CURRENT ASSETS</t>
  </si>
  <si>
    <t>Operating lease right-of-use assets (held constant, cited Q2 FY2026)</t>
  </si>
  <si>
    <t>Long-term investments (held constant, cited Q2 FY2026)</t>
  </si>
  <si>
    <t>Goodwill (held constant, cited Q2 FY2026)</t>
  </si>
  <si>
    <t>Restricted cash (held constant, cited Q2 FY2026)</t>
  </si>
  <si>
    <t>Deferred tax assets, net (held constant, cited Q2 FY2026)</t>
  </si>
  <si>
    <t>Other assets (held constant, cited Q2 FY2026)</t>
  </si>
  <si>
    <t>Total non-current assets</t>
  </si>
  <si>
    <t>CURRENT LIABILITIES</t>
  </si>
  <si>
    <t>NON-CURRENT LIABILITIES</t>
  </si>
  <si>
    <t>Long-term operating lease liability (held constant, cited Q2 FY2026)</t>
  </si>
  <si>
    <t>Deferred tax liabilities, net (held constant, cited Q2 FY2026)</t>
  </si>
  <si>
    <t>Total non-current liabilities</t>
  </si>
  <si>
    <t>STOCKHOLDERS' EQUITY</t>
  </si>
  <si>
    <t>Common stock (held constant, cited Q2 FY2026)</t>
  </si>
  <si>
    <t>Additional paid-in capital (rolled: prior + SBC + option proceeds - settlement taxes - buybacks)</t>
  </si>
  <si>
    <t>Retained earnings / accumulated deficit (rolled: prior + net income)</t>
  </si>
  <si>
    <t>Treasury stock (held constant, cited Q2 FY2026)</t>
  </si>
  <si>
    <t>Total liabilities and stockholders equity</t>
  </si>
  <si>
    <t>Check — assets = liabilities + equity (OK/BREAK)</t>
  </si>
  <si>
    <t>Check — BS cash = CF ending cash (cash roll, OK/BREAK)</t>
  </si>
  <si>
    <t>Check — total assets = total liabilities + equity within Tolerance_USD (OK/BREAK)</t>
  </si>
  <si>
    <t xml:space="preserve">  Total assets (engine)</t>
  </si>
  <si>
    <t xml:space="preserve">  Total liabilities (engine)</t>
  </si>
  <si>
    <t xml:space="preserve">  Total equity (engine)</t>
  </si>
  <si>
    <t xml:space="preserve">  Balance difference (engine)</t>
  </si>
  <si>
    <t>Cash Flow</t>
  </si>
  <si>
    <t>Fully linked: net income from 12_IS, add-backs from the 09/10 cash-flow basis rows, working capital from 08, cash swept here and landed on 13_BS.</t>
  </si>
  <si>
    <t>FY2026 is hybrid: H1 filed actuals (cited) + H2 modeled. The H2 block foots because its components exist; the full-year column equals H1 filed + H2 modeled.</t>
  </si>
  <si>
    <t>HYBRID PROVENANCE — FY2026 H1 filed actuals (cited)</t>
  </si>
  <si>
    <t>H1 filed cash from operations</t>
  </si>
  <si>
    <t>H1 filed cash from investing</t>
  </si>
  <si>
    <t>H1 filed cash from financing</t>
  </si>
  <si>
    <t>H1 filed net change in cash</t>
  </si>
  <si>
    <t>OPERATING ACTIVITIES</t>
  </si>
  <si>
    <t>Net income (FY2026 = H2 modeled; full year thereafter)</t>
  </si>
  <si>
    <t>Stock-based compensation</t>
  </si>
  <si>
    <t>Change in working capital</t>
  </si>
  <si>
    <t>H2 modeled cash from operations</t>
  </si>
  <si>
    <t>Cash from operations (H1 filed + H2 modeled)</t>
  </si>
  <si>
    <t>INVESTING ACTIVITIES</t>
  </si>
  <si>
    <t>Purchases of property and equipment</t>
  </si>
  <si>
    <t>Capitalized software and intangibles</t>
  </si>
  <si>
    <t>H2 modeled cash from investing</t>
  </si>
  <si>
    <t>Cash from investing (H1 filed + H2 modeled)</t>
  </si>
  <si>
    <t>FINANCING ACTIVITIES</t>
  </si>
  <si>
    <t>Proceeds from stock option exercises</t>
  </si>
  <si>
    <t>Taxes paid for net share settlement</t>
  </si>
  <si>
    <t>Repurchases of common stock</t>
  </si>
  <si>
    <t>H2 modeled cash from financing</t>
  </si>
  <si>
    <t>Cash from financing (H1 filed + H2 modeled)</t>
  </si>
  <si>
    <t>CASH ROLL</t>
  </si>
  <si>
    <t>Net change in cash (H1 filed + H2 modeled)</t>
  </si>
  <si>
    <t>Beginning cash (FY2026 = cited Q2 FY2026)</t>
  </si>
  <si>
    <t>Ending cash</t>
  </si>
  <si>
    <t>Check — OCF + ICF + financing = net change in cash (OK/BREAK)</t>
  </si>
  <si>
    <t>Check — ending cash = next period opening cash (OK/BREAK)</t>
  </si>
  <si>
    <t>Check — H2 modeled block foots: OCF + ICF + financing = modeled change (OK/BREAK)</t>
  </si>
  <si>
    <t xml:space="preserve">  OCF (engine)</t>
  </si>
  <si>
    <t xml:space="preserve">  ICF (engine)</t>
  </si>
  <si>
    <t xml:space="preserve">  Financing (engine)</t>
  </si>
  <si>
    <t xml:space="preserve">  Net change (engine)</t>
  </si>
  <si>
    <t xml:space="preserve">  Ending cash (engine)</t>
  </si>
  <si>
    <t>BASIS NOTE — R31 ≠ R30 + R29 BY CONSTRUCTION in the FY2026 column:</t>
  </si>
  <si>
    <t xml:space="preserve">  Row 29 (net change in cash) is a FULL-YEAR flow measured from 1 January 2026. In FY2026 it is H1 filed actuals + H2 modeled.</t>
  </si>
  <si>
    <t xml:space="preserve">  Row 30 (beginning cash) is a BALANCE. In FY2026 it is the cited Q2 FY2026 balance sheet cash at 30 June 2026 — not 1 January.</t>
  </si>
  <si>
    <t xml:space="preserve">  Row 31 (ending cash) is therefore a 30 June → 31 December balance, so R31 ≠ R30 + R29 in the FY2026 column by construction. This is correct, not a break.</t>
  </si>
  <si>
    <t xml:space="preserve">  FY2026 rolls as R31 = R30 + (H2 modeled OCF + H2 modeled investing + H2 modeled financing). From FY2027 the roll is R30 + R29 and the identity R31 = R30 + R29 does hold.</t>
  </si>
  <si>
    <t>Discounted Cash Flow — FCFF, dated valuation seam</t>
  </si>
  <si>
    <t>FCFF = cash from operations + cash from investing − after-tax interest income. Stage periods are pulled from 04_Assumptions by name. Exponents derive from the declared dates on this sheet; the factor beside each period uses t, and t − 0.5 is shown as the disclosed mid-year reference.</t>
  </si>
  <si>
    <t>Frozen as-of valuation: effective valuation date and reporting cutoff are declared inputs. No TODAY, OFFSET, INDIRECT, NOW, RAND or EDATE anywhere in this sheet — the snapshot does not move with the clock.</t>
  </si>
  <si>
    <t>Discounted cash flow — FCFF</t>
  </si>
  <si>
    <t>FY2032</t>
  </si>
  <si>
    <t>FY2033</t>
  </si>
  <si>
    <t>FY2034</t>
  </si>
  <si>
    <t>STAGE STRUCTURE — periods pulled from 04_Assumptions by name</t>
  </si>
  <si>
    <t>Stage</t>
  </si>
  <si>
    <t>Check — the FY2026–FY2028 columns carry the Stage 1 label pulled from 04_Assumptions (OK/BREAK)</t>
  </si>
  <si>
    <t>Check — the FY2029 and FY2030 columns still carry the Stage 1 label (OK/BREAK)</t>
  </si>
  <si>
    <t>Check — the FY2031–FY2035 columns carry the Stage 2 label (OK/BREAK)</t>
  </si>
  <si>
    <t>Check — Stage 2 begins in the calendar year immediately after Stage 1 ends, so neither an overlap NOR a gap can hide (OK/BREAK)</t>
  </si>
  <si>
    <t>Check — the Stage 3 basis on this sheet is the one declared on 04_Assumptions (OK/BREAK)</t>
  </si>
  <si>
    <t>VALUATION BASIS — frozen as-of inputs (2026-09-02 effective date; 2026-06-30 reporting cutoff)</t>
  </si>
  <si>
    <t>Effective valuation date (declared input)</t>
  </si>
  <si>
    <t>2026-09-02</t>
  </si>
  <si>
    <t>Reporting cutoff — last filed balance sheet date (declared input)</t>
  </si>
  <si>
    <t>2026-06-30</t>
  </si>
  <si>
    <t>Terminal date (declared input)</t>
  </si>
  <si>
    <t>2035-12-31</t>
  </si>
  <si>
    <t>Day-count basis for discount exponents (days per year)</t>
  </si>
  <si>
    <t>FY2026 H2 days total (30 Jun → 31 Dec)</t>
  </si>
  <si>
    <t>Pre-valuation roll days (30 Jun → valuation date) — bridged into cash, not discounted</t>
  </si>
  <si>
    <t>Post-valuation discount days (valuation date → 31 Dec) — the discounted FY2026 stub</t>
  </si>
  <si>
    <t>Pre-valuation fraction of FY2026 H2</t>
  </si>
  <si>
    <t>Post-valuation fraction of FY2026 H2</t>
  </si>
  <si>
    <t>Check — pre-valuation + post-valuation days = FY2026 H2 days (OK/BREAK)</t>
  </si>
  <si>
    <t>WACC (discount rate)</t>
  </si>
  <si>
    <t>Cost of equity = risk-free + beta × equity risk premium</t>
  </si>
  <si>
    <t>Terminal growth rate g (Stage 3)</t>
  </si>
  <si>
    <t>Check — WACC equals the cost of equity build (OK/BREAK)</t>
  </si>
  <si>
    <t>Check — WACC exceeds g, so the Gordon denominator is positive (OK/BREAK)</t>
  </si>
  <si>
    <t>Perpetual post-terminal dilution d_perm (engine constant; disclosed range 0–2%)</t>
  </si>
  <si>
    <t>Money scale — dollars per $ thousands (UNITS.thousands_usd)</t>
  </si>
  <si>
    <t>FREE CASH FLOW TO THE FIRM — FY2026–FY2030 build live from 12_IS / 14_CF; FY2031–FY2035 are engine-produced frozen inputs (the statement horizon ends FY2030)</t>
  </si>
  <si>
    <t>Cash from operations</t>
  </si>
  <si>
    <t>Cash from investing</t>
  </si>
  <si>
    <t>Interest income (total)</t>
  </si>
  <si>
    <t>After-tax interest income = interest income × (1 − effective tax rate)</t>
  </si>
  <si>
    <t>Free cash flow to the firm — full period</t>
  </si>
  <si>
    <t>DATED VALUATION SEAM — FY2026 is partitioned; only cash flow after the effective valuation date is discounted</t>
  </si>
  <si>
    <t>FY2026 H1 actual FCFF (inside the cited 30 Jun balance — bridged, never discounted)</t>
  </si>
  <si>
    <t>FY2026 H2 modeled FCFF (the whole H2 half-year)</t>
  </si>
  <si>
    <t>Less: pre-valuation portion (30 Jun → valuation date, 64 days) — rolled into the cash bridge</t>
  </si>
  <si>
    <t>FY2026 post-valuation FCFF (valuation date → 31 Dec, 120 days) — the discounted stub</t>
  </si>
  <si>
    <t>Check — H1 actual + pre-valuation + post-valuation = full-period FY2026 FCFF (OK/BREAK)</t>
  </si>
  <si>
    <t>DISCOUNTING — exponent t derived from the declared dates; t − 0.5 shown beside the factor as the disclosed mid-year reference</t>
  </si>
  <si>
    <t>Period end date (declared)</t>
  </si>
  <si>
    <t>2026-12-31</t>
  </si>
  <si>
    <t>2027-12-31</t>
  </si>
  <si>
    <t>2028-12-31</t>
  </si>
  <si>
    <t>2029-12-31</t>
  </si>
  <si>
    <t>2030-12-31</t>
  </si>
  <si>
    <t>2031-12-31</t>
  </si>
  <si>
    <t>2032-12-31</t>
  </si>
  <si>
    <t>2033-12-31</t>
  </si>
  <si>
    <t>2034-12-31</t>
  </si>
  <si>
    <t>Days from the effective valuation date to the period end</t>
  </si>
  <si>
    <t>Period exponent t (years)</t>
  </si>
  <si>
    <t>t − 0.5 — mid-year reference, disclosed (the factor below uses t, not t − 0.5)</t>
  </si>
  <si>
    <t>Discount factor = 1 ÷ (1 + WACC) ^ t</t>
  </si>
  <si>
    <t>FCFF entering the dated schedule (FY2026 = post-valuation window only)</t>
  </si>
  <si>
    <t>Present value of FCFF</t>
  </si>
  <si>
    <t>Check — discount factor reproduces 1 ÷ (1 + WACC) ^ t from the named cells (OK/BREAK)</t>
  </si>
  <si>
    <t>STAGE SPLIT — present values by stage (Stage 1 explicit, Stage 2 fade; Stage 3 is the terminal block below)</t>
  </si>
  <si>
    <t>Present value of forecast FCFF — Stage 1 explicit (FY2026–FY2030)</t>
  </si>
  <si>
    <t>Present value of forecast FCFF — Stage 2 fade (FY2031–FY2035)</t>
  </si>
  <si>
    <t>Present value of forecast FCFF — both explicit stages</t>
  </si>
  <si>
    <t>Check — the ten present values foot to the explicit present value (OK/BREAK)</t>
  </si>
  <si>
    <t>Check — Stage 1 and Stage 2 present values sum to the explicit total (OK/BREAK)</t>
  </si>
  <si>
    <t>TERMINAL VALUE — Stage 3 Gordon growth on the normalized terminal FCFF (growing out of FY2035)</t>
  </si>
  <si>
    <t>FY2035 FCFF (final explicit year)</t>
  </si>
  <si>
    <t>Net working capital, terminal year FY2035 (engine production; the workbook working-capital schedule ends FY2030)</t>
  </si>
  <si>
    <t>Net working capital, FY2034 (engine production)</t>
  </si>
  <si>
    <t>Working-capital inflow embedded in FY2035 = −(NWC FY2035 − NWC FY2034)</t>
  </si>
  <si>
    <t>Steady-state working-capital inflow at g = −NWC FY2035 × g</t>
  </si>
  <si>
    <t>Normalized terminal FCFF = FY2035 FCFF − embedded inflow + steady-state inflow</t>
  </si>
  <si>
    <t>Terminal FCFF grown one year = normalized terminal FCFF × (1 + g)</t>
  </si>
  <si>
    <t>Terminal value at FY2035 = terminal FCFF ÷ (WACC − g)</t>
  </si>
  <si>
    <t>Discount factor at FY2035 (the FY2035 exponent above)</t>
  </si>
  <si>
    <t>Present value of the terminal value</t>
  </si>
  <si>
    <t>ENTERPRISE VALUE → EQUITY BRIDGE (dated seam; net cash measured at the effective valuation date)</t>
  </si>
  <si>
    <t>Present value of forecast FCFF (Stage 1 + Stage 2)</t>
  </si>
  <si>
    <t>Enterprise value</t>
  </si>
  <si>
    <t>Cash and cash equivalents, cited Q2 FY2026 (30 Jun 2026)</t>
  </si>
  <si>
    <t>Plus: pre-valuation cash roll (30 Jun → valuation date, 64 days; engine seam partition)</t>
  </si>
  <si>
    <t>Cash and cash equivalents at the effective valuation date (rolled)</t>
  </si>
  <si>
    <t>Plus: short-term investments (cited Q2 FY2026, held constant)</t>
  </si>
  <si>
    <t>Plus: long-term investments (cited Q2 FY2026, held constant)</t>
  </si>
  <si>
    <t>Less: total funded debt (the model is debt-free; engine sanctions zero)</t>
  </si>
  <si>
    <t>Net cash at the effective valuation date</t>
  </si>
  <si>
    <t>Equity value</t>
  </si>
  <si>
    <t>Check — equity value = enterprise value + net cash (OK/BREAK)</t>
  </si>
  <si>
    <t>Check — net cash equals the Cover net-cash basis less the rolled stub difference (disclosed, OK/BREAK)</t>
  </si>
  <si>
    <t>VALUE PER DILUTED SHARE — three disclosed denominators, one recommended lane (perpetual-divisor basis)</t>
  </si>
  <si>
    <t>Diluted shares — spot, point-in-time fully diluted schedule at 30 Jun 2026</t>
  </si>
  <si>
    <t>Diluted shares — terminal count after the explicit and fade issuance roll</t>
  </si>
  <si>
    <t>Perpetual post-terminal dilution factor (1 + d_perm)</t>
  </si>
  <si>
    <t>Terminal divisor — explicit, fade and perpetual dilution (the canonical denominator)</t>
  </si>
  <si>
    <t>Value per diluted share — CANONICAL: after modeled future dilution (RECOMMENDED)</t>
  </si>
  <si>
    <t>Value per diluted share — after explicit and fade dilution (disclosed intermediate)</t>
  </si>
  <si>
    <t>Value per diluted share — current-share spot value (disclosed; NOT a recommendation)</t>
  </si>
  <si>
    <t>Modeled dilution effect per share (spot − canonical)</t>
  </si>
  <si>
    <t>Check — spot value exceeds the canonical value (modelled dilution is positive, OK/BREAK)</t>
  </si>
  <si>
    <t>Check — canonical value does not exceed the finite-roll intermediate (OK/BREAK)</t>
  </si>
  <si>
    <t>COMPARISON LANES — labelled non-production; none is this sheet's basis and none drives anything</t>
  </si>
  <si>
    <t>Legacy integer-index lane, value per share (engine; this ten-period horizon; not production)</t>
  </si>
  <si>
    <t>Legacy integer-index lane, enterprise value (engine; this ten-period horizon; not production)</t>
  </si>
  <si>
    <t>Five-period lane — value per share after modeled future dilution (FY2026–FY2030; COMPLETE horizon-5 chain; legacy-only, not a basis here)</t>
  </si>
  <si>
    <t>Five-period lane — its own terminal divisor (five-period share roll × perpetual dilution), NOT the ten-period divisor</t>
  </si>
  <si>
    <t>Five-period lane — value per share after explicit and fade dilution (five-period share roll)</t>
  </si>
  <si>
    <t>Five-period lane — enterprise value (legacy-only, not a basis here)</t>
  </si>
  <si>
    <t>Five-period lane — legacy integer-index value per share (legacy-only)</t>
  </si>
  <si>
    <t>Note on the engine's legacyFiveYear block: at the canonical ten-period horizon it is byte-identical to the integer-index legacy lane above (enterprise value 7454032.94, value per share 208.82) and its schedule carries 10 periods, so it is NOT a five-year computation. The five-period rows above come from a COMPLETE horizon-5 chain — its own forecast, its own three-statement projection and its own valuation — so its per-share figures divide by its own five-period terminal divisor and never by the ten-period one. P10.0 §2 keeps the five-period lane legacy-only; this snapshot's basis is the ten-period canonical lane above.</t>
  </si>
  <si>
    <t>ENGINE CROSS-CHECK — regen-pinned as-of 2026-10-07 (build-time equality asserted; rerun builder to regenerate)</t>
  </si>
  <si>
    <t xml:space="preserve">  FCFF entering the dated schedule (engine)</t>
  </si>
  <si>
    <t xml:space="preserve">  Discount factor (engine)</t>
  </si>
  <si>
    <t xml:space="preserve">  Present value of FCFF (engine)</t>
  </si>
  <si>
    <t xml:space="preserve">  Period exponent t (engine)</t>
  </si>
  <si>
    <t xml:space="preserve">  Days from the valuation date to the period end (engine)</t>
  </si>
  <si>
    <t xml:space="preserve">  WACC (engine)</t>
  </si>
  <si>
    <t xml:space="preserve">  Terminal growth g (engine)</t>
  </si>
  <si>
    <t xml:space="preserve">  Present value of forecast FCFF (engine)</t>
  </si>
  <si>
    <t xml:space="preserve">  Present value, Stage 1 explicit (engine)</t>
  </si>
  <si>
    <t xml:space="preserve">  Present value, Stage 2 fade (engine)</t>
  </si>
  <si>
    <t xml:space="preserve">  Terminal value (engine)</t>
  </si>
  <si>
    <t xml:space="preserve">  Present value of the terminal value (engine)</t>
  </si>
  <si>
    <t xml:space="preserve">  Enterprise value (engine)</t>
  </si>
  <si>
    <t xml:space="preserve">  Cash at the effective valuation date, rolled (engine)</t>
  </si>
  <si>
    <t xml:space="preserve">  Pre-valuation cash roll (engine)</t>
  </si>
  <si>
    <t xml:space="preserve">  Short-term investments (engine)</t>
  </si>
  <si>
    <t xml:space="preserve">  Long-term investments (engine)</t>
  </si>
  <si>
    <t xml:space="preserve">  Total funded debt (engine)</t>
  </si>
  <si>
    <t xml:space="preserve">  Net cash (engine)</t>
  </si>
  <si>
    <t xml:space="preserve">  Equity value (engine)</t>
  </si>
  <si>
    <t xml:space="preserve">  Diluted shares, spot fully diluted schedule (engine)</t>
  </si>
  <si>
    <t xml:space="preserve">  Diluted shares, terminal after the finite roll (engine)</t>
  </si>
  <si>
    <t xml:space="preserve">  Terminal divisor including perpetual dilution (engine)</t>
  </si>
  <si>
    <t xml:space="preserve">  Perpetual post-terminal dilution d_perm (engine)</t>
  </si>
  <si>
    <t xml:space="preserve">  Value per diluted share — canonical (engine)</t>
  </si>
  <si>
    <t xml:space="preserve">  Value per diluted share — finite roll (engine)</t>
  </si>
  <si>
    <t xml:space="preserve">  Value per diluted share — spot (engine)</t>
  </si>
  <si>
    <t xml:space="preserve">  Total modelled share issuance over the horizon (engine)</t>
  </si>
  <si>
    <t xml:space="preserve">  Net working capital, FY2035 (engine)</t>
  </si>
  <si>
    <t xml:space="preserve">  Net working capital, FY2034 (engine)</t>
  </si>
  <si>
    <t xml:space="preserve">  FY2026 H1 actual FCFF (engine)</t>
  </si>
  <si>
    <t xml:space="preserve">  FY2026 pre-valuation FCFF (engine)</t>
  </si>
  <si>
    <t xml:space="preserve">  FY2026 post-valuation FCFF (engine)</t>
  </si>
  <si>
    <t xml:space="preserve">  FY2026 full-period FCFF (engine)</t>
  </si>
  <si>
    <t xml:space="preserve">  Five-period lane, value per share after modeled future dilution (complete horizon-5 chain)</t>
  </si>
  <si>
    <t xml:space="preserve">  Five-period lane, its own terminal divisor (five-period share roll)</t>
  </si>
  <si>
    <t xml:space="preserve">  Five-period lane, value per share after explicit and fade dilution</t>
  </si>
  <si>
    <t xml:space="preserve">  Five-period lane, enterprise value (complete horizon-5 chain)</t>
  </si>
  <si>
    <t xml:space="preserve">  Five-period lane, legacy integer-index value per share</t>
  </si>
  <si>
    <t>LIVE-VERSUS-ENGINE CHECK ROWS — each compares this sheet's live arithmetic to the independent engine row above</t>
  </si>
  <si>
    <t>Check — live FCFF entering the dated schedule equals the engine, every period (OK/BREAK)</t>
  </si>
  <si>
    <t>Check — live discount factor equals the engine, every period (OK/BREAK)</t>
  </si>
  <si>
    <t>Check — live exponent t equals the engine, every period (OK/BREAK)</t>
  </si>
  <si>
    <t>Check — live day count to each period end equals the engine, every period (OK/BREAK)</t>
  </si>
  <si>
    <t>Check — live present value equals the engine, every period (OK/BREAK)</t>
  </si>
  <si>
    <t>Check — live explicit present value equals the engine (OK/BREAK)</t>
  </si>
  <si>
    <t>Check — live Stage 1 present value equals the engine (OK/BREAK)</t>
  </si>
  <si>
    <t>Check — live Stage 2 present value equals the engine (OK/BREAK)</t>
  </si>
  <si>
    <t>Check — live terminal value equals the engine (OK/BREAK)</t>
  </si>
  <si>
    <t>Check — live present value of the terminal equals the engine (OK/BREAK)</t>
  </si>
  <si>
    <t>Check — live enterprise value equals the engine (OK/BREAK)</t>
  </si>
  <si>
    <t>Check — live rolled cash equals the engine (OK/BREAK)</t>
  </si>
  <si>
    <t>Check — live net cash equals the engine (OK/BREAK)</t>
  </si>
  <si>
    <t>Check — live equity value equals the engine (OK/BREAK)</t>
  </si>
  <si>
    <t>Check — live terminal divisor equals shares(roll) × (1 + d_perm) and the engine (OK/BREAK)</t>
  </si>
  <si>
    <t>Check — live finite-roll share count equals the engine (OK/BREAK)</t>
  </si>
  <si>
    <t>Check — spot denominator equals the Cover fully diluted schedule and the engine (OK/BREAK)</t>
  </si>
  <si>
    <t>Check — live WACC equals the engine (OK/BREAK)</t>
  </si>
  <si>
    <t>Check — live terminal growth equals the engine (OK/BREAK)</t>
  </si>
  <si>
    <t>Check — terminal working-capital legs equal the engine (OK/BREAK)</t>
  </si>
  <si>
    <t>Check — prior-year terminal working-capital leg equals the engine (OK/BREAK)</t>
  </si>
  <si>
    <t>Check — full-period FY2026 FCFF equals the engine (OK/BREAK)</t>
  </si>
  <si>
    <t>Check — H1 actual FCFF equals the engine (OK/BREAK)</t>
  </si>
  <si>
    <t>Check — pre-valuation FCFF equals the engine (OK/BREAK)</t>
  </si>
  <si>
    <t>Check — post-valuation FCFF equals the engine (OK/BREAK)</t>
  </si>
  <si>
    <t>Check — perpetual dilution rate equals the engine (OK/BREAK)</t>
  </si>
  <si>
    <t>Check — canonical value per diluted share within $0.01 of the engine canonical output (OK/BREAK)</t>
  </si>
  <si>
    <t>Check — finite-roll value per diluted share within $0.01 of the engine (OK/BREAK)</t>
  </si>
  <si>
    <t>Check — spot value per diluted share within $0.01 of the engine (OK/BREAK)</t>
  </si>
  <si>
    <t>Check — the modelled dilution effect equals spot less canonical (OK/BREAK)</t>
  </si>
  <si>
    <t>Footing: FCFF × discount factor foots to the per-period present value, the two stage present values foot to the explicit total, and the explicit total plus the present value of the terminal foots to enterprise value. Every figure above is produced by this workbook's own live formulas except the rows explicitly marked as engine cross-checks or as engine-produced frozen inputs.</t>
  </si>
  <si>
    <t>Scenarios and sensitivities — precomputed engine outputs (frozen values; checks are live)</t>
  </si>
  <si>
    <t>Bull/base/bear lanes, a precomputed 9x5 WACC x terminal-growth grid, and one-way operating sensitivities — all from the same dated-seam canonical basis as the 15_DCF headline. No live Excel Data Tables anywhere in this workbook.</t>
  </si>
  <si>
    <t>Frozen snapshot: values below are written at build time and do not move with inputs. The scenario switch on 01_Control stays INACTIVE; 04 deltas remain reference-only. Nothing on this sheet drives any other sheet.</t>
  </si>
  <si>
    <t>Scenarios and sensitivities — precomputed</t>
  </si>
  <si>
    <t>BASIS — headline inputs, live from Cover and 15_DCF (vintage below)</t>
  </si>
  <si>
    <t>Snapshot vintage — built 2026-10-07 (real UTC) from a live engine run; rerun scratch/build_p12_4_sens.mjs to regenerate. Basis: dated-seam ten-period canonical lane (WACC 11.1225%, g 2.5%).</t>
  </si>
  <si>
    <t>Precomputed statement — the grid, scenario and sensitivity cells below are frozen values. The ONLY live cells on this sheet are the three basis pass-throughs and the OK/BREAK checks that read them. No Data Table formulas exist in this workbook.</t>
  </si>
  <si>
    <t>Non-production statement — scenario and sensitivity lanes are reference-only and drive nothing; the scenario switch on 01_Control stays INACTIVE and the 04 deltas remain reference-only.</t>
  </si>
  <si>
    <t>Headline WACC (live from Cover)</t>
  </si>
  <si>
    <t>Headline terminal growth g (live from Cover)</t>
  </si>
  <si>
    <t>Headline canonical value per share (live from 15_DCF)</t>
  </si>
  <si>
    <t>SCENARIOS — precomputed bear/base/bull engine outputs (each a full chain; base == headline)</t>
  </si>
  <si>
    <t>Each scenario runs schedules, forecast (horizon 10), three-statement, WACC and dated-seam DCF through scenarios.apply. Bear and bull move 38 drivers; base moves none. The grid below brackets the scenario WACC range (bull 9.32% / bear 13.08% sit inside 9.12%-13.12%).</t>
  </si>
  <si>
    <t>Scenario output</t>
  </si>
  <si>
    <t>Bear</t>
  </si>
  <si>
    <t>Base</t>
  </si>
  <si>
    <t>Bull</t>
  </si>
  <si>
    <t>Scenario WACC (discount rate)</t>
  </si>
  <si>
    <t>Scenario terminal growth rate g</t>
  </si>
  <si>
    <t>Canonical value per diluted share</t>
  </si>
  <si>
    <t>Value per diluted share — finite roll</t>
  </si>
  <si>
    <t>Value per diluted share — spot</t>
  </si>
  <si>
    <t>FY2026 revenue (scenario operating anchor)</t>
  </si>
  <si>
    <t>FY2026 operating income (scenario operating anchor)</t>
  </si>
  <si>
    <t>Check — scenario base canonical equals the headline within $0.01 (OK/BREAK)</t>
  </si>
  <si>
    <t>Check — bear canonical is below base (OK/BREAK)</t>
  </si>
  <si>
    <t>Check — bull canonical is above base (OK/BREAK)</t>
  </si>
  <si>
    <t>Check — bear EV is below base (OK/BREAK)</t>
  </si>
  <si>
    <t>Check — bull EV is above base (OK/BREAK)</t>
  </si>
  <si>
    <t>Check — scenario equity foots to EV + net cash, every scenario (OK/BREAK)</t>
  </si>
  <si>
    <t>Check — scenario spot exceeds canonical, every scenario (OK/BREAK)</t>
  </si>
  <si>
    <t>WACC x TERMINAL-GROWTH GRID — precomputed 9x5 canonical per share (WACC +-200 bps x g 1.0%-3.0%; centre == headline)</t>
  </si>
  <si>
    <t>WACC moves through the risk-free driver (debt-free build, so WACC shifts 1:1 with rf); g moves the terminal driver. Each cell is a full dated-seam canonical revaluation with the SBC roll held fixed. The grid falls as WACC rises and rises as g rises — asserted over all 45 cells at build time; the sheet carries the four corner-trend checks.</t>
  </si>
  <si>
    <t>g across, WACC down</t>
  </si>
  <si>
    <t>WACC 9.12% (-200 bps)</t>
  </si>
  <si>
    <t>WACC 9.62% (-150 bps)</t>
  </si>
  <si>
    <t>WACC 10.12% (-100 bps)</t>
  </si>
  <si>
    <t>WACC 10.62% (-50 bps)</t>
  </si>
  <si>
    <t>WACC 11.12% (+0 bps)</t>
  </si>
  <si>
    <t>WACC 11.62% (+50 bps)</t>
  </si>
  <si>
    <t>WACC 12.12% (+100 bps)</t>
  </si>
  <si>
    <t>WACC 12.62% (+150 bps)</t>
  </si>
  <si>
    <t>WACC 13.12% (+200 bps)</t>
  </si>
  <si>
    <t>Check — grid WACC axis low equals base - 200 bps (OK/BREAK)</t>
  </si>
  <si>
    <t>Check — grid WACC axis high equals base + 200 bps (OK/BREAK)</t>
  </si>
  <si>
    <t>Check — grid WACC axis centres on the headline basis (OK/BREAK)</t>
  </si>
  <si>
    <t>Check — grid g axis low is 1.0% (OK/BREAK)</t>
  </si>
  <si>
    <t>Check — grid g axis high is 3.0% (OK/BREAK)</t>
  </si>
  <si>
    <t>Check — grid headline-g column carries the headline g (OK/BREAK)</t>
  </si>
  <si>
    <t>Check — grid centre (base WACC, base g) equals the headline within $0.01 (OK/BREAK)</t>
  </si>
  <si>
    <t>Check — grid falls as WACC rises, low-g edge (OK/BREAK)</t>
  </si>
  <si>
    <t>Check — grid falls as WACC rises, high-g edge (OK/BREAK)</t>
  </si>
  <si>
    <t>Check — grid rises as g rises, low-WACC edge (OK/BREAK)</t>
  </si>
  <si>
    <t>Check — grid rises as g rises, high-WACC edge (OK/BREAK)</t>
  </si>
  <si>
    <t>OPERATING SENSITIVITIES — one-way perturbations, full-chain revaluation to dated-seam canonical (base == headline)</t>
  </si>
  <si>
    <t>Each perturbation rebuilds schedules, forecast, three-statement, WACC and dated-seam DCF on the perturbed driver set; all else held at base. Revenue +-100 bps on paid_subscriber_growth; margin +-100 bps on cost_of_revenue_pct_revenue; SBC +-100 bps on sbc_target_pct_of_revenue; dilution d_perm 0% / 2% about the 1% default. Deltas are live formulas reading the frozen cells.</t>
  </si>
  <si>
    <t>Operating sensitivity (canonical per share)</t>
  </si>
  <si>
    <t>Driver low</t>
  </si>
  <si>
    <t>Driver high</t>
  </si>
  <si>
    <t>Revenue sensitivity — paid subscriber growth +-100 bps</t>
  </si>
  <si>
    <t>Margin sensitivity — cost of revenue +-100 bps (driver high lowers value)</t>
  </si>
  <si>
    <t>SBC sensitivity — SBC target +-100 bps (driver high lowers value)</t>
  </si>
  <si>
    <t>Dilution sensitivity — perpetual dilution d_perm 0% / 1% / 2%</t>
  </si>
  <si>
    <t>Revenue — paid subscriber growth — live deltas vs base (low-base, high-base)</t>
  </si>
  <si>
    <t>Margin — cost of revenue % revenue — live deltas vs base (low-base, high-base)</t>
  </si>
  <si>
    <t>SBC — SBC target % revenue — live deltas vs base (low-base, high-base)</t>
  </si>
  <si>
    <t>Dilution — perpetual dilution d_perm — live deltas vs base (low-base, high-base)</t>
  </si>
  <si>
    <t>Check — revenue base equals the headline (OK/BREAK)</t>
  </si>
  <si>
    <t>Check — margin base equals the headline (OK/BREAK)</t>
  </si>
  <si>
    <t>Check — SBC base equals the headline (OK/BREAK)</t>
  </si>
  <si>
    <t>Check — dilution base equals the headline (OK/BREAK)</t>
  </si>
  <si>
    <t>Check — higher revenue raises value (OK/BREAK)</t>
  </si>
  <si>
    <t>Check — lower revenue lowers value (OK/BREAK)</t>
  </si>
  <si>
    <t>Check — higher cost lowers value (OK/BREAK)</t>
  </si>
  <si>
    <t>Check — lower cost raises value (OK/BREAK)</t>
  </si>
  <si>
    <t>Check — higher SBC lowers value (OK/BREAK)</t>
  </si>
  <si>
    <t>Check — lower SBC raises value (OK/BREAK)</t>
  </si>
  <si>
    <t>Check — higher perpetual dilution lowers value (OK/BREAK)</t>
  </si>
  <si>
    <t>Check — zero perpetual dilution raises value (OK/BREAK)</t>
  </si>
  <si>
    <t>Footing: scenario equity foots to EV + net cash per scenario; the grid centre foots to the headline; every sensitivity base foots to the headline; deltas foot to their frozen cells. All values above are frozen engine outputs except the basis pass-throughs, the live deltas and the OK/BREAK checks.</t>
  </si>
  <si>
    <t>Checks — every turning indicator in one place</t>
  </si>
  <si>
    <t>Every row is live and every row is a turning indicator: OK while the check holds within its stated tolerance, BREAK when it does not. Money rows are $ thousands; per-share rows are $ per diluted share. Nothing on this tab is an input — it reports, it does not drive.</t>
  </si>
  <si>
    <t>Footing tolerance $#,##0 = 1000 per leg (the Tolerance_USD named cell on 01_Control); per-share tolerance $0.01. Snapshot 2026-10-06; checks built 2026-10-07.</t>
  </si>
  <si>
    <t>BALANCE SHEET — 13_BS</t>
  </si>
  <si>
    <t>B</t>
  </si>
  <si>
    <t>C</t>
  </si>
  <si>
    <t>D</t>
  </si>
  <si>
    <t>E</t>
  </si>
  <si>
    <t>F</t>
  </si>
  <si>
    <t>Check — total assets = total liabilities + stockholders equity (13_BS row 57)</t>
  </si>
  <si>
    <t>Check — the same identity within Tolerance_USD (13_BS row 59)</t>
  </si>
  <si>
    <t>CASH ROLL — 13_BS / 14_CF</t>
  </si>
  <si>
    <t>Check — OCF + investing + financing = net change in cash (14_CF row 32)</t>
  </si>
  <si>
    <t>Check — the FY2026 H2 modeled block foots to the modeled change (14_CF row 34)</t>
  </si>
  <si>
    <t>Check — ending cash chains into the next period opening (14_CF row 33)</t>
  </si>
  <si>
    <t>Check — BS cash = CF ending cash (13_BS row 58)</t>
  </si>
  <si>
    <t>BOOKINGS → DEFERRED REVENUE BRIDGE</t>
  </si>
  <si>
    <t>Check — opening + additions − recognition = ending (06 row 48)</t>
  </si>
  <si>
    <t>The 08_Working_Capital deferred-revenue line is itself =DR_EOP_FY2026, so re-checking it against 06 would be a tautology. The independent legs are the 13_BS identity above and the 06 roll footing above; both are mirrored here rather than recomputed.</t>
  </si>
  <si>
    <t>SHARE COUNT AND PER-SHARE LANES</t>
  </si>
  <si>
    <t>Check — spot fully diluted count 50061458: schedule leg equals its frozen engine leg within 1 share (10_SBC_Shares row 12 vs 15_DCF row 124)</t>
  </si>
  <si>
    <t>Check — the per-share lanes order spot &gt; canonical, and canonical &lt;= finite roll (both intended pairs in one cell)</t>
  </si>
  <si>
    <t>Note the finite-roll lane (113.87) sits ABOVE the canonical lane (112.74): canonical divides by the terminal count grossed up for perpetual dilution, so it is deliberately the more conservative of the two. The correct ordering is therefore spot &gt; canonical and canonical &lt;= finite — NOT a three-way chain. Canonical is the recommended lane and is the most conservative of the three.</t>
  </si>
  <si>
    <t>Check — canonical value per diluted share within $0.01 of the engine (15_DCF row 170)</t>
  </si>
  <si>
    <t>Check — finite-roll value per diluted share within $0.01 of the engine (15_DCF row 171)</t>
  </si>
  <si>
    <t>Check — spot value per diluted share within $0.01 of the engine (15_DCF row 172)</t>
  </si>
  <si>
    <t>Check — modelled dilution effect = spot − canonical (15_DCF row 173)</t>
  </si>
  <si>
    <t>Check — spot denominator = Cover FD schedule and the engine (15_DCF row 160)</t>
  </si>
  <si>
    <t>Check — terminal divisor = shares(roll) × (1 + d_perm) and the engine (15_DCF row 158)</t>
  </si>
  <si>
    <t>Check — finite-roll share count equals the engine (15_DCF row 159)</t>
  </si>
  <si>
    <t>Check — five-period (h5) terminal divisor 57502257.06 equals its engine leg within 1 share (15_DCF rows 98 vs 139)</t>
  </si>
  <si>
    <t>Share-count provenance, every leg live-checked above (counts within 1 share; per-share lanes within $0.01): FD 50061458 — 00_Cover B13 point-in-time schedule measured 2026-06-30, 10_SBC_Shares row 12, 15_DCF rows 84/124; canonical divisor 67562285.30 — 15_DCF rows 87/126 (terminal count grossed up for perpetual dilution); finite-roll count 66893351.78 — 15_DCF rows 85/125; five-period (h5) divisor 57502257.06 — 15_DCF rows 98/139 (complete FY2026–FY2030 chain, legacy-only lane).</t>
  </si>
  <si>
    <t>VALUATION — 15_DCF dated-seam chain</t>
  </si>
  <si>
    <t>Check — pre-valuation + post-valuation days = FY2026 H2 days (15_DCF row 23)</t>
  </si>
  <si>
    <t>Check — Stage 2 starts the year immediately after Stage 1 ends: no gap, no overlap (row 11)</t>
  </si>
  <si>
    <t>Check — WACC = risk-free + beta × equity risk premium (row 27)</t>
  </si>
  <si>
    <t>Check — WACC exceeds g, so the Gordon denominator is positive (row 28)</t>
  </si>
  <si>
    <t>Check — live WACC equals the engine (row 161)</t>
  </si>
  <si>
    <t>Check — live terminal growth equals the engine (row 162)</t>
  </si>
  <si>
    <t>Check — discount factor reproduces 1 ÷ (1 + WACC) ^ t (row 51)</t>
  </si>
  <si>
    <t>Check — H1 actual + pre-valuation + post-valuation = full-period FY2026 FCFF (row 42)</t>
  </si>
  <si>
    <t>Check — the ten present values foot to the explicit total (row 56)</t>
  </si>
  <si>
    <t>Check — Stage 1 + Stage 2 present values = the explicit total (row 57)</t>
  </si>
  <si>
    <t>Check — equity value = enterprise value + net cash (row 81)</t>
  </si>
  <si>
    <t>Check — net cash equals the Cover net-cash basis less the rolled stub (row 82, disclosed)</t>
  </si>
  <si>
    <t>Check — enterprise value equals the engine (row 154)</t>
  </si>
  <si>
    <t>Check — rolled cash at the valuation date equals the engine (row 155)</t>
  </si>
  <si>
    <t>Check — net cash equals the engine (row 156)</t>
  </si>
  <si>
    <t>Check — equity value equals the engine (row 157)</t>
  </si>
  <si>
    <t>Check — spot value exceeds canonical, so modelled dilution is positive (row 92)</t>
  </si>
  <si>
    <t>Check — canonical does not exceed the finite-roll intermediate (row 93)</t>
  </si>
  <si>
    <t>Check — full-period FY2026 FCFF equals the engine (row 165)</t>
  </si>
  <si>
    <t>Check — perpetual dilution rate equals the engine (row 169)</t>
  </si>
  <si>
    <t>Check — 12_IS solved interest equals the engine-parity solve (12_IS row 53)</t>
  </si>
  <si>
    <t>Check — 12_IS FY2026 H1 + H2 pretax partition holds (12_IS row 56)</t>
  </si>
  <si>
    <t>Check — live FCFF equals the engine, every one of the ten periods (15_DCF row 144)</t>
  </si>
  <si>
    <t>Check — live present value equals the engine, every period (15_DCF row 148)</t>
  </si>
  <si>
    <t>HISTORICAL TIE-OUTS — 03_Historicals as filed</t>
  </si>
  <si>
    <t>Check — reported total assets = total liabilities and stockholders equity</t>
  </si>
  <si>
    <t>Check — reported CF ending cash = BS cash + restricted cash</t>
  </si>
  <si>
    <t>The reported BS balance and cash-roll tie-outs are shown for the five full fiscal years only: the 9M FY2025 column is a year-to-date income and cash-flow stub with no annual balance sheet, so a balance identity there would be meaningless rather than broken.</t>
  </si>
  <si>
    <t>C2 PLUG-MAGNITUDE TRIPWIRE (binding carry from the P12.1 review)</t>
  </si>
  <si>
    <t>C2 bound policy — |EBITDA-bridge residual| ÷ that period REVENUE</t>
  </si>
  <si>
    <t>The bound is 7.5% of revenue (progress.md ruling). Revenue is the denominator because it is independent of the plug the tripwire watches — a bound expressed in terms of the residual itself would be the tautology class. Changing this one cell re-arms or disarms every tripwire below.</t>
  </si>
  <si>
    <t>Tripwire — |computed residual| ÷ revenue ≤ Bound_C2_PCT (OK/BREAK)</t>
  </si>
  <si>
    <t>C2 observed — |residual| ÷ revenue (the tripwire quantity, disclosed)</t>
  </si>
  <si>
    <t>C2 disclosure — |residual| ÷ CITED Adjusted EBITDA (unusable as a bound; shown, not hidden)</t>
  </si>
  <si>
    <t>FY2021 cited Adjusted EBITDA is -1066 against a residual of 15381, so a percentage-of-cited-EBITDA bound is meaningless in that column (1443%) — the denominator changes sign. That is why the bound is stated on revenue, and why the unusable ratio is disclosed on this row instead of being omitted. The binding period is FY2021 at 6.133% of revenue against a 7.5% bound — headroom of 137 bp, so the tripwire is armed rather than slack.</t>
  </si>
  <si>
    <t>C2 bridge foot — subtotal + residual = cited Adjusted EBITDA (03_Historicals row 122)</t>
  </si>
  <si>
    <t>C2 PLUG-MAGNITUDE TRIPWIRE — NWC RESIDUAL / EV BRIDGE / DCF STAGE FOOTINGS (brief anchors)</t>
  </si>
  <si>
    <t>Tripwire — |NWC production − NWC superseded basis| ≤ Tolerance_USD (OK/BREAK)</t>
  </si>
  <si>
    <t>C2 observed — |NWC production − superseded basis| (the tripwire quantity, disclosed)</t>
  </si>
  <si>
    <t>NWC provenance: production −293206.94 — 08_Working_Capital row 17, the headline used everywhere in this workbook; superseded basis −293292.19 — row 29 (revenue-% payables basis, shown once as the reconciliation only and consumed by nothing); difference +85.26 — row 30. Headroom to the $1k tolerance is $914.74, so the gate is armed rather than slack: any plug above $1k trips it to BREAK.</t>
  </si>
  <si>
    <t>Tripwire — live EV + live net cash foots to the frozen engine equity within Tolerance_USD (OK/BREAK)</t>
  </si>
  <si>
    <t>EV-bridge provenance: EV 6181615.23 (15_DCF row 72) + net cash 1435448.73 (row 79) = equity 7617063.96 (rows 80/123). The live bridge is footed here against the FROZEN engine equity leg — a live-vs-live footing would be definitional and could never turn under input mutation; this one turns the moment any valuation input moves the live legs 2+ dollars from the engine. Second footing independent of the row-81 mirror above.</t>
  </si>
  <si>
    <t>Tripwire — live Stage 1 + Stage 2 PV foots to the engine explicit total within Tolerance_USD (OK/BREAK)</t>
  </si>
  <si>
    <t>Tripwire — live explicit + live terminal PV foots to engine EV within Tolerance_USD (OK/BREAK)</t>
  </si>
  <si>
    <t>Stage-footing provenance: pvExplicit 3109718.43 = Stage 1 1457943.74 (15_DCF row 53) + Stage 2 1651774.69 (row 54), footed against the ten frozen engine PV legs (row 106); EV 6181615.23 = pvExplicit + pvTerminal 3071896.80 (TV 8221173.53 discounted, rows 66/68), footed against the frozen engine EV (row 116). Both recomputed here from the named legs.</t>
  </si>
  <si>
    <t>FORMULA / ERROR / HYGIENE FLAGS</t>
  </si>
  <si>
    <t>Check — zero Excel error literals (#REF!/#VALUE!/#NAME?/#DIV/0!/#N/A) in any sheet</t>
  </si>
  <si>
    <t>OK</t>
  </si>
  <si>
    <t>Check — zero volatile or indirect functions (TODAY/OFFSET/INDIRECT/NOW/RAND/EDATE/EOMONTH/CELL/INFO)</t>
  </si>
  <si>
    <t>Check — zero external links, zero macros, zero external references</t>
  </si>
  <si>
    <t>Check — zero bare cross-sheet A1 references (defined names only)</t>
  </si>
  <si>
    <t>Check — zero SUM()/AND() aggregates (unsupported by the workbook evaluator)</t>
  </si>
  <si>
    <t>Check — the 01_Control scenario switch remains INACTIVE with zero consumers</t>
  </si>
  <si>
    <t>Check — every defined name resolves (no #NAME? source) and none is orphaned by this tab</t>
  </si>
  <si>
    <t>These flags are the build-time and verifier-time result, not a live re-scan: a workbook formula cannot count its own error literals. They are established by scratch/verify_p12_1.mjs (unzip + grep over the XML), scratch/verify_p12_2.mjs v4 (live evaluation of every formula cell against its cache), scratch/verify_p12_3.mjs and scratch/verify_p12_4.mjs, and are re-run in full at every P12.4 gate.</t>
  </si>
  <si>
    <t>Investment summary — the dashboard</t>
  </si>
  <si>
    <t>Every figure on this tab is a live named reference into the model. It holds no inputs, drives nothing, and is consumed by nothing. If the model moves, this tab moves with it.</t>
  </si>
  <si>
    <t>As-of snapshot 2026-10-06 · $ thousands except per-share (dollars) · canonical ten-period FCFF dated-seam basis · tab assembled 2026-10-07</t>
  </si>
  <si>
    <t>OPERATING FORECAST — from 12_IS</t>
  </si>
  <si>
    <t>Revenue growth (year on year)</t>
  </si>
  <si>
    <t>Gross margin</t>
  </si>
  <si>
    <t>EBIT margin</t>
  </si>
  <si>
    <t>Net margin</t>
  </si>
  <si>
    <t>CASH FLOW — from 14_CF</t>
  </si>
  <si>
    <t>FCFF entering the DCF schedule</t>
  </si>
  <si>
    <t>FY2026 FCFF is the post-valuation window only (120 days from the 2 Sep 2026 effective valuation date); the H1 actual and pre-valuation portions are bridged into the opening cash balance on 15_DCF and are never discounted. See 15_DCF rows 38-42.</t>
  </si>
  <si>
    <t>VALUATION — canonical dated-seam DCF (15_DCF)</t>
  </si>
  <si>
    <t>Terminal value at FY2035</t>
  </si>
  <si>
    <t>Terminal growth (g)</t>
  </si>
  <si>
    <t>Diluted shares — spot fully diluted (30 Jun 2026)</t>
  </si>
  <si>
    <t>RECOMMENDED basis — canonical value per diluted share is the primary lane:</t>
  </si>
  <si>
    <t>Value per diluted share — CANONICAL (recommended)</t>
  </si>
  <si>
    <t>Value per diluted share — finite roll (disclosed)</t>
  </si>
  <si>
    <t>Value per diluted share — spot (disclosed, not a recommendation)</t>
  </si>
  <si>
    <t>Market price (benchmark, Cover)</t>
  </si>
  <si>
    <t>Upside / (downside) vs market price</t>
  </si>
  <si>
    <t>The canonical lane divides by the terminal share count grossed up for perpetual dilution, so it is deliberately the most conservative of the three per-share lanes. The finite-roll lane sits above it; the spot lane uses the point-in-time fully diluted count and is shown for completeness, not as a recommendation.</t>
  </si>
  <si>
    <t>KEY SENSITIVITIES — reference-only engine lanes (16_Scenarios_Sens, NOT production)</t>
  </si>
  <si>
    <t>Bear case — canonical per share</t>
  </si>
  <si>
    <t>Base case — canonical per share</t>
  </si>
  <si>
    <t>Bull case — canonical per share</t>
  </si>
  <si>
    <t>Base case — enterprise value</t>
  </si>
  <si>
    <t>Grid centre (base WACC, base g)</t>
  </si>
  <si>
    <t>Scenario and sensitivity lanes are engine outputs written as frozen values on 16_Scenarios_Sens. Nothing downstream consumes them and they do not change the 15_DCF basis. The workbook scenario switch stays INACTIVE: 04_Assumptions bear/bull delta columns are reference-only with zero formula consumers.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</si>
</sst>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quot;-&quot;"/>
    <numFmt numFmtId="165" formatCode="&quot;$&quot;#,##0.00"/>
    <numFmt numFmtId="166" formatCode="\$#,##0;\(\$#,##0\);&quot;-&quot;"/>
    <numFmt numFmtId="167" formatCode="0.0%"/>
    <numFmt numFmtId="168" formatCode="0.000000"/>
    <numFmt numFmtId="169" formatCode="0.000%"/>
  </numFmts>
  <fonts count="19" x14ac:knownFonts="1">
    <font>
      <sz val="11"/>
      <color theme="1"/>
      <name val="Calibri"/>
      <family val="2"/>
      <scheme val="minor"/>
    </font>
    <font>
      <b/>
      <sz val="16"/>
      <color rgb="FF1F2937"/>
      <name val="Calibri"/>
      <family val="2"/>
    </font>
    <font>
      <i/>
      <sz val="10"/>
      <color rgb="FF6B7280"/>
      <name val="Calibri"/>
      <family val="2"/>
    </font>
    <font>
      <b/>
      <sz val="11"/>
      <color rgb="FF2563EB"/>
      <name val="Calibri"/>
      <family val="2"/>
    </font>
    <font>
      <b/>
      <sz val="11"/>
      <color rgb="FFFFFFFF"/>
      <name val="Calibri"/>
      <family val="2"/>
    </font>
    <font>
      <sz val="11"/>
      <color rgb="FF111827"/>
      <name val="Calibri"/>
      <family val="2"/>
    </font>
    <font>
      <sz val="11"/>
      <color rgb="FF0000CC"/>
      <name val="Calibri"/>
      <family val="2"/>
    </font>
    <font>
      <sz val="10"/>
      <color rgb="FF6B7280"/>
      <name val="Calibri"/>
      <family val="2"/>
    </font>
    <font>
      <b/>
      <sz val="11"/>
      <name val="Calibri"/>
      <family val="2"/>
    </font>
    <font>
      <u/>
      <sz val="11"/>
      <color rgb="FF0563C1"/>
      <name val="Calibri"/>
      <family val="2"/>
    </font>
    <font>
      <b/>
      <sz val="10"/>
      <color rgb="FF1F2937"/>
      <name val="Calibri"/>
      <family val="2"/>
    </font>
    <font>
      <sz val="10"/>
      <name val="Calibri"/>
      <family val="2"/>
    </font>
    <font>
      <sz val="10"/>
      <color rgb="FF0000CC"/>
      <name val="Calibri"/>
      <family val="2"/>
    </font>
    <font>
      <sz val="9"/>
      <color rgb="FF6B7280"/>
      <name val="Calibri"/>
      <family val="2"/>
    </font>
    <font>
      <b/>
      <sz val="12"/>
      <color rgb="FF334155"/>
      <name val="Calibri"/>
      <family val="2"/>
    </font>
    <font>
      <sz val="11"/>
      <color rgb="FF6B7280"/>
      <name val="Calibri"/>
      <family val="2"/>
    </font>
    <font>
      <b/>
      <sz val="11"/>
      <color rgb="FF111827"/>
      <name val="Calibri"/>
      <family val="2"/>
    </font>
    <font>
      <sz val="10"/>
      <color rgb="FF111827"/>
      <name val="Calibri"/>
      <family val="2"/>
    </font>
    <font>
      <b/>
      <sz val="11"/>
      <color rgb="FF0000CC"/>
      <name val="Calibri"/>
      <family val="2"/>
    </font>
  </fonts>
  <fills count="6">
    <fill>
      <patternFill patternType="none"/>
    </fill>
    <fill>
      <patternFill patternType="gray125"/>
    </fill>
    <fill>
      <patternFill patternType="solid">
        <fgColor rgb="FF1F2937"/>
      </patternFill>
    </fill>
    <fill>
      <patternFill patternType="solid">
        <fgColor rgb="FF334155"/>
      </patternFill>
    </fill>
    <fill>
      <patternFill patternType="solid">
        <fgColor rgb="FFF1F5F9"/>
      </patternFill>
    </fill>
    <fill>
      <patternFill patternType="solid">
        <fgColor rgb="FFFEF3C7"/>
      </patternFill>
    </fill>
  </fills>
  <borders count="1">
    <border>
      <left/>
      <right/>
      <top/>
      <bottom/>
      <diagonal/>
    </border>
  </borders>
  <cellStyleXfs count="1">
    <xf numFmtId="0" fontId="0" fillId="0" borderId="0"/>
  </cellStyleXfs>
  <cellXfs count="98">
    <xf numFmtId="0" fontId="0" fillId="0" borderId="0" xfId="0"/>
    <xf numFmtId="0" fontId="2" fillId="0" borderId="0" xfId="0" applyFont="1"/>
    <xf numFmtId="0" fontId="4" fillId="2" borderId="0" xfId="0" applyFont="1" applyFill="1" applyAlignment="1">
      <alignment horizontal="left" vertical="center" wrapText="1"/>
    </xf>
    <xf numFmtId="0" fontId="5" fillId="0" borderId="0" xfId="0" applyFont="1" applyAlignment="1">
      <alignment horizontal="left" vertical="center"/>
    </xf>
    <xf numFmtId="49" fontId="6" fillId="0" borderId="0" xfId="0" applyNumberFormat="1" applyFont="1" applyAlignment="1" applyProtection="1">
      <alignment horizontal="left" vertical="center"/>
      <protection locked="0"/>
    </xf>
    <xf numFmtId="0" fontId="7" fillId="0" borderId="0" xfId="0" applyFont="1"/>
    <xf numFmtId="49" fontId="6" fillId="0" borderId="0" xfId="0" applyNumberFormat="1" applyFont="1" applyAlignment="1">
      <alignment horizontal="left" vertical="center"/>
    </xf>
    <xf numFmtId="10" fontId="6" fillId="0" borderId="0" xfId="0" applyNumberFormat="1" applyFont="1" applyAlignment="1" applyProtection="1">
      <alignment horizontal="left" vertical="center"/>
      <protection locked="0"/>
    </xf>
    <xf numFmtId="164" fontId="6" fillId="0" borderId="0" xfId="0" applyNumberFormat="1" applyFont="1" applyAlignment="1" applyProtection="1">
      <alignment horizontal="left" vertical="center"/>
      <protection locked="0"/>
    </xf>
    <xf numFmtId="165" fontId="6" fillId="0" borderId="0" xfId="0" applyNumberFormat="1" applyFont="1" applyAlignment="1" applyProtection="1">
      <alignment horizontal="left" vertical="center"/>
      <protection locked="0"/>
    </xf>
    <xf numFmtId="166" fontId="8" fillId="0" borderId="0" xfId="0" applyNumberFormat="1" applyFont="1" applyAlignment="1">
      <alignment horizontal="right" vertical="center"/>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9" fillId="0" borderId="0" xfId="0" applyFont="1" applyAlignment="1">
      <alignment horizontal="left" vertical="center"/>
    </xf>
    <xf numFmtId="0" fontId="7" fillId="0" borderId="0" xfId="0" applyFont="1" applyAlignment="1">
      <alignment horizontal="left" vertical="center"/>
    </xf>
    <xf numFmtId="0" fontId="10" fillId="0" borderId="0" xfId="0" applyFont="1" applyAlignment="1">
      <alignment horizontal="left" vertical="top" wrapText="1"/>
    </xf>
    <xf numFmtId="0" fontId="5" fillId="0" borderId="0" xfId="0" applyFont="1" applyAlignment="1">
      <alignment horizontal="left" vertical="center" wrapText="1"/>
    </xf>
    <xf numFmtId="0" fontId="7" fillId="0" borderId="0" xfId="0" applyFont="1" applyAlignment="1">
      <alignment vertical="center" wrapText="1"/>
    </xf>
    <xf numFmtId="166" fontId="6" fillId="0" borderId="0" xfId="0" applyNumberFormat="1" applyFont="1" applyAlignment="1" applyProtection="1">
      <alignment horizontal="right" vertical="center"/>
      <protection locked="0"/>
    </xf>
    <xf numFmtId="0" fontId="5" fillId="0" borderId="0" xfId="0" applyFont="1"/>
    <xf numFmtId="0" fontId="4" fillId="3" borderId="0" xfId="0" applyFont="1" applyFill="1"/>
    <xf numFmtId="0" fontId="11" fillId="0" borderId="0" xfId="0" applyFont="1"/>
    <xf numFmtId="166" fontId="12" fillId="0" borderId="0" xfId="0" applyNumberFormat="1" applyFont="1" applyAlignment="1" applyProtection="1">
      <alignment horizontal="right" vertical="center"/>
      <protection locked="0"/>
    </xf>
    <xf numFmtId="0" fontId="12" fillId="0" borderId="0" xfId="0" applyFont="1" applyProtection="1">
      <protection locked="0"/>
    </xf>
    <xf numFmtId="0" fontId="13" fillId="0" borderId="0" xfId="0" applyFont="1" applyAlignment="1">
      <alignment vertical="top" wrapText="1"/>
    </xf>
    <xf numFmtId="0" fontId="11" fillId="4" borderId="0" xfId="0" applyFont="1" applyFill="1"/>
    <xf numFmtId="166" fontId="12" fillId="4" borderId="0" xfId="0" applyNumberFormat="1" applyFont="1" applyFill="1" applyAlignment="1" applyProtection="1">
      <alignment horizontal="right" vertical="center"/>
      <protection locked="0"/>
    </xf>
    <xf numFmtId="0" fontId="12" fillId="4" borderId="0" xfId="0" applyFont="1" applyFill="1" applyProtection="1">
      <protection locked="0"/>
    </xf>
    <xf numFmtId="0" fontId="13" fillId="4" borderId="0" xfId="0" applyFont="1" applyFill="1" applyAlignment="1">
      <alignment vertical="top" wrapText="1"/>
    </xf>
    <xf numFmtId="0" fontId="14" fillId="0" borderId="0" xfId="0" applyFont="1"/>
    <xf numFmtId="0" fontId="15" fillId="0" borderId="0" xfId="0" applyFont="1" applyAlignment="1">
      <alignment horizontal="right"/>
    </xf>
    <xf numFmtId="0" fontId="13" fillId="0" borderId="0" xfId="0" applyFont="1"/>
    <xf numFmtId="164" fontId="6" fillId="0" borderId="0" xfId="0" applyNumberFormat="1" applyFont="1" applyAlignment="1" applyProtection="1">
      <alignment horizontal="right" vertical="center"/>
      <protection locked="0"/>
    </xf>
    <xf numFmtId="0" fontId="7" fillId="0" borderId="0" xfId="0" applyFont="1" applyAlignment="1">
      <alignment horizontal="left" vertical="center" indent="1"/>
    </xf>
    <xf numFmtId="0" fontId="16" fillId="0" borderId="0" xfId="0" applyFont="1" applyAlignment="1">
      <alignment horizontal="left" vertical="center" indent="1"/>
    </xf>
    <xf numFmtId="166" fontId="16" fillId="0" borderId="0" xfId="0" applyNumberFormat="1" applyFont="1" applyAlignment="1">
      <alignment horizontal="right" vertical="center"/>
    </xf>
    <xf numFmtId="166" fontId="5" fillId="0" borderId="0" xfId="0" applyNumberFormat="1" applyFont="1" applyAlignment="1">
      <alignment horizontal="right" vertical="center"/>
    </xf>
    <xf numFmtId="164" fontId="5" fillId="0" borderId="0" xfId="0" applyNumberFormat="1" applyFont="1" applyAlignment="1">
      <alignment horizontal="right" vertical="center"/>
    </xf>
    <xf numFmtId="0" fontId="16" fillId="0" borderId="0" xfId="0" applyFont="1" applyAlignment="1">
      <alignment horizontal="left" vertical="center"/>
    </xf>
    <xf numFmtId="0" fontId="8" fillId="0" borderId="0" xfId="0" applyFont="1" applyAlignment="1">
      <alignment horizontal="center"/>
    </xf>
    <xf numFmtId="0" fontId="15" fillId="0" borderId="0" xfId="0" applyFont="1" applyAlignment="1">
      <alignment horizontal="center"/>
    </xf>
    <xf numFmtId="10" fontId="6" fillId="0" borderId="0" xfId="0" applyNumberFormat="1" applyFont="1" applyAlignment="1" applyProtection="1">
      <alignment horizontal="right" vertical="center"/>
      <protection locked="0"/>
    </xf>
    <xf numFmtId="0" fontId="5" fillId="4" borderId="0" xfId="0" applyFont="1" applyFill="1" applyAlignment="1">
      <alignment horizontal="left" vertical="center" indent="1"/>
    </xf>
    <xf numFmtId="0" fontId="7" fillId="4" borderId="0" xfId="0" applyFont="1" applyFill="1"/>
    <xf numFmtId="166" fontId="6" fillId="4" borderId="0" xfId="0" applyNumberFormat="1" applyFont="1" applyFill="1" applyAlignment="1" applyProtection="1">
      <alignment horizontal="right" vertical="center"/>
      <protection locked="0"/>
    </xf>
    <xf numFmtId="10" fontId="6" fillId="4" borderId="0" xfId="0" applyNumberFormat="1" applyFont="1" applyFill="1" applyAlignment="1" applyProtection="1">
      <alignment horizontal="right" vertical="center"/>
      <protection locked="0"/>
    </xf>
    <xf numFmtId="164" fontId="6" fillId="4" borderId="0" xfId="0" applyNumberFormat="1" applyFont="1" applyFill="1" applyAlignment="1" applyProtection="1">
      <alignment horizontal="right" vertical="center"/>
      <protection locked="0"/>
    </xf>
    <xf numFmtId="164" fontId="6" fillId="0" borderId="0" xfId="0" applyNumberFormat="1" applyFont="1" applyAlignment="1">
      <alignment horizontal="right" vertical="center"/>
    </xf>
    <xf numFmtId="0" fontId="5" fillId="0" borderId="0" xfId="0" applyFont="1" applyAlignment="1">
      <alignment horizontal="left" vertical="center" indent="1"/>
    </xf>
    <xf numFmtId="0" fontId="6" fillId="0" borderId="0" xfId="0" applyFont="1" applyAlignment="1">
      <alignment horizontal="left" vertical="center"/>
    </xf>
    <xf numFmtId="0" fontId="6" fillId="0" borderId="0" xfId="0" applyFont="1" applyAlignment="1" applyProtection="1">
      <alignment horizontal="left" vertical="center"/>
      <protection locked="0"/>
    </xf>
    <xf numFmtId="10" fontId="5" fillId="0" borderId="0" xfId="0" applyNumberFormat="1" applyFont="1" applyAlignment="1">
      <alignment horizontal="right" vertical="center"/>
    </xf>
    <xf numFmtId="164" fontId="16" fillId="0" borderId="0" xfId="0" applyNumberFormat="1" applyFont="1" applyAlignment="1">
      <alignment horizontal="right" vertical="center"/>
    </xf>
    <xf numFmtId="166" fontId="5" fillId="5" borderId="0" xfId="0" applyNumberFormat="1" applyFont="1" applyFill="1" applyAlignment="1">
      <alignment horizontal="right" vertical="center"/>
    </xf>
    <xf numFmtId="167" fontId="5" fillId="0" borderId="0" xfId="0" applyNumberFormat="1" applyFont="1" applyAlignment="1">
      <alignment horizontal="right" vertical="center"/>
    </xf>
    <xf numFmtId="49" fontId="5" fillId="0" borderId="0" xfId="0" applyNumberFormat="1" applyFont="1" applyAlignment="1">
      <alignment horizontal="left" wrapText="1"/>
    </xf>
    <xf numFmtId="49" fontId="5" fillId="0" borderId="0" xfId="0" applyNumberFormat="1" applyFont="1" applyAlignment="1">
      <alignment horizontal="right" vertical="center"/>
    </xf>
    <xf numFmtId="0" fontId="17" fillId="0" borderId="0" xfId="0" applyFont="1" applyAlignment="1">
      <alignment horizontal="left" vertical="center" indent="1"/>
    </xf>
    <xf numFmtId="49" fontId="5" fillId="0" borderId="0" xfId="0" applyNumberFormat="1" applyFont="1" applyAlignment="1">
      <alignment horizontal="center"/>
    </xf>
    <xf numFmtId="0" fontId="12" fillId="0" borderId="0" xfId="0" applyFont="1" applyAlignment="1" applyProtection="1">
      <alignment horizontal="left" vertical="center"/>
      <protection locked="0"/>
    </xf>
    <xf numFmtId="3" fontId="6" fillId="0" borderId="0" xfId="0" applyNumberFormat="1" applyFont="1" applyAlignment="1" applyProtection="1">
      <alignment horizontal="right" vertical="center"/>
      <protection locked="0"/>
    </xf>
    <xf numFmtId="168" fontId="5" fillId="0" borderId="0" xfId="0" applyNumberFormat="1" applyFont="1" applyAlignment="1">
      <alignment horizontal="right" vertical="center"/>
    </xf>
    <xf numFmtId="10" fontId="16" fillId="0" borderId="0" xfId="0" applyNumberFormat="1" applyFont="1" applyAlignment="1">
      <alignment horizontal="right" vertical="center"/>
    </xf>
    <xf numFmtId="49" fontId="6" fillId="0" borderId="0" xfId="0" applyNumberFormat="1" applyFont="1" applyAlignment="1" applyProtection="1">
      <alignment horizontal="right" vertical="center"/>
      <protection locked="0"/>
    </xf>
    <xf numFmtId="168" fontId="5" fillId="5" borderId="0" xfId="0" applyNumberFormat="1" applyFont="1" applyFill="1" applyAlignment="1">
      <alignment horizontal="right" vertical="center"/>
    </xf>
    <xf numFmtId="3" fontId="5" fillId="0" borderId="0" xfId="0" applyNumberFormat="1" applyFont="1" applyAlignment="1">
      <alignment horizontal="right" vertical="center"/>
    </xf>
    <xf numFmtId="165" fontId="16" fillId="0" borderId="0" xfId="0" applyNumberFormat="1" applyFont="1" applyAlignment="1">
      <alignment horizontal="right" vertical="center"/>
    </xf>
    <xf numFmtId="165" fontId="5" fillId="0" borderId="0" xfId="0" applyNumberFormat="1" applyFont="1" applyAlignment="1">
      <alignment horizontal="right" vertical="center"/>
    </xf>
    <xf numFmtId="165" fontId="6" fillId="0" borderId="0" xfId="0" applyNumberFormat="1" applyFont="1" applyAlignment="1" applyProtection="1">
      <alignment horizontal="right" vertical="center"/>
      <protection locked="0"/>
    </xf>
    <xf numFmtId="168" fontId="6" fillId="0" borderId="0" xfId="0" applyNumberFormat="1" applyFont="1" applyAlignment="1" applyProtection="1">
      <alignment horizontal="right" vertical="center"/>
      <protection locked="0"/>
    </xf>
    <xf numFmtId="169" fontId="6" fillId="0" borderId="0" xfId="0" applyNumberFormat="1" applyFont="1" applyAlignment="1" applyProtection="1">
      <alignment horizontal="right" vertical="center"/>
      <protection locked="0"/>
    </xf>
    <xf numFmtId="169" fontId="6" fillId="0" borderId="0" xfId="0" applyNumberFormat="1" applyFont="1" applyAlignment="1">
      <alignment horizontal="right" vertical="center"/>
    </xf>
    <xf numFmtId="166" fontId="6" fillId="0" borderId="0" xfId="0" applyNumberFormat="1" applyFont="1" applyAlignment="1">
      <alignment horizontal="right" vertical="center"/>
    </xf>
    <xf numFmtId="165" fontId="6" fillId="0" borderId="0" xfId="0" applyNumberFormat="1" applyFont="1" applyAlignment="1">
      <alignment horizontal="right" vertical="center"/>
    </xf>
    <xf numFmtId="167" fontId="18" fillId="0" borderId="0" xfId="0" applyNumberFormat="1" applyFont="1" applyAlignment="1">
      <alignment horizontal="right" vertical="center"/>
    </xf>
    <xf numFmtId="167" fontId="6" fillId="0" borderId="0" xfId="0" applyNumberFormat="1" applyFont="1" applyAlignment="1">
      <alignment horizontal="right" vertical="center"/>
    </xf>
    <xf numFmtId="0" fontId="16" fillId="0" borderId="0" xfId="0" applyFont="1" applyAlignment="1">
      <alignment horizontal="center"/>
    </xf>
    <xf numFmtId="0" fontId="7" fillId="0" borderId="0" xfId="0" applyFont="1" applyAlignment="1">
      <alignment horizontal="left" vertical="top" wrapText="1" indent="1"/>
    </xf>
    <xf numFmtId="167" fontId="18" fillId="0" borderId="0" xfId="0" applyNumberFormat="1" applyFont="1" applyAlignment="1">
      <alignment horizontal="right"/>
    </xf>
    <xf numFmtId="10" fontId="7" fillId="0" borderId="0" xfId="0" applyNumberFormat="1" applyFont="1" applyAlignment="1">
      <alignment horizontal="right"/>
    </xf>
    <xf numFmtId="9" fontId="7" fillId="0" borderId="0" xfId="0" applyNumberFormat="1" applyFont="1" applyAlignment="1">
      <alignment horizontal="right"/>
    </xf>
    <xf numFmtId="166" fontId="7" fillId="0" borderId="0" xfId="0" applyNumberFormat="1" applyFont="1" applyAlignment="1">
      <alignment horizontal="right"/>
    </xf>
    <xf numFmtId="166" fontId="16" fillId="0" borderId="0" xfId="0" applyNumberFormat="1" applyFont="1" applyAlignment="1">
      <alignment horizontal="right"/>
    </xf>
    <xf numFmtId="167" fontId="5" fillId="0" borderId="0" xfId="0" applyNumberFormat="1" applyFont="1" applyAlignment="1">
      <alignment horizontal="right"/>
    </xf>
    <xf numFmtId="166" fontId="5" fillId="0" borderId="0" xfId="0" applyNumberFormat="1" applyFont="1" applyAlignment="1">
      <alignment horizontal="right"/>
    </xf>
    <xf numFmtId="0" fontId="2" fillId="0" borderId="0" xfId="0" applyFont="1" applyAlignment="1">
      <alignment horizontal="left" vertical="top" wrapText="1" indent="1"/>
    </xf>
    <xf numFmtId="10" fontId="5" fillId="0" borderId="0" xfId="0" applyNumberFormat="1" applyFont="1" applyAlignment="1">
      <alignment horizontal="right"/>
    </xf>
    <xf numFmtId="3" fontId="5" fillId="0" borderId="0" xfId="0" applyNumberFormat="1" applyFont="1" applyAlignment="1">
      <alignment horizontal="right"/>
    </xf>
    <xf numFmtId="165" fontId="16" fillId="0" borderId="0" xfId="0" applyNumberFormat="1" applyFont="1" applyAlignment="1">
      <alignment horizontal="right"/>
    </xf>
    <xf numFmtId="165" fontId="5" fillId="0" borderId="0" xfId="0" applyNumberFormat="1" applyFont="1" applyAlignment="1">
      <alignment horizontal="right"/>
    </xf>
    <xf numFmtId="167" fontId="16" fillId="0" borderId="0" xfId="0" applyNumberFormat="1" applyFont="1" applyAlignment="1">
      <alignment horizontal="right"/>
    </xf>
    <xf numFmtId="0" fontId="1" fillId="0" borderId="0" xfId="0" applyFont="1"/>
    <xf numFmtId="0" fontId="2" fillId="0" borderId="0" xfId="0" applyFont="1"/>
    <xf numFmtId="0" fontId="3" fillId="0" borderId="0" xfId="0" applyFont="1"/>
    <xf numFmtId="0" fontId="5" fillId="0" borderId="0" xfId="0" applyFont="1" applyAlignment="1">
      <alignment horizontal="left" vertical="center"/>
    </xf>
    <xf numFmtId="0" fontId="7" fillId="0" borderId="0" xfId="0" applyFont="1" applyAlignment="1">
      <alignment horizontal="left" vertical="center"/>
    </xf>
    <xf numFmtId="0" fontId="7" fillId="0" borderId="0" xfId="0" applyFont="1"/>
    <xf numFmtId="0" fontId="2" fillId="0" borderId="0" xfId="0" applyFont="1" applyAlignment="1">
      <alignment horizontal="left" vertical="top" wrapText="1"/>
    </xf>
  </cellXfs>
  <cellStyles count="1">
    <cellStyle name="Normal" xfId="0" builtinId="0"/>
  </cellStyles>
  <dxfs count="82">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937"/>
    <pageSetUpPr fitToPage="1"/>
  </sheetPr>
  <dimension ref="A1:L39"/>
  <sheetViews>
    <sheetView zoomScaleNormal="100" workbookViewId="0">
      <pane xSplit="1" ySplit="4" topLeftCell="B5" activePane="bottomRight" state="frozen"/>
      <selection pane="topRight"/>
      <selection pane="bottomLeft"/>
      <selection pane="bottomRight" sqref="A1:L1"/>
    </sheetView>
  </sheetViews>
  <sheetFormatPr defaultRowHeight="14.4" x14ac:dyDescent="0.3"/>
  <cols>
    <col min="1" max="1" width="26" customWidth="1"/>
    <col min="2" max="2" width="30" customWidth="1"/>
    <col min="3" max="3" width="20" customWidth="1"/>
    <col min="4" max="4" width="4" customWidth="1"/>
    <col min="5" max="5" width="24" customWidth="1"/>
    <col min="6" max="6" width="50" customWidth="1"/>
  </cols>
  <sheetData>
    <row r="1" spans="1:12" ht="22.05" customHeight="1" x14ac:dyDescent="0.4">
      <c r="A1" s="91" t="s">
        <v>0</v>
      </c>
      <c r="B1" s="91"/>
      <c r="C1" s="91"/>
      <c r="D1" s="91"/>
      <c r="E1" s="91"/>
      <c r="F1" s="91"/>
      <c r="G1" s="91"/>
      <c r="H1" s="91"/>
      <c r="I1" s="91"/>
      <c r="J1" s="91"/>
      <c r="K1" s="91"/>
      <c r="L1" s="91"/>
    </row>
    <row r="2" spans="1:12" x14ac:dyDescent="0.3">
      <c r="A2" s="92" t="s">
        <v>1</v>
      </c>
      <c r="B2" s="92"/>
      <c r="C2" s="92"/>
      <c r="D2" s="92"/>
      <c r="E2" s="92"/>
      <c r="F2" s="92"/>
      <c r="G2" s="92"/>
      <c r="H2" s="92"/>
      <c r="I2" s="92"/>
      <c r="J2" s="92"/>
      <c r="K2" s="92"/>
      <c r="L2" s="92"/>
    </row>
    <row r="4" spans="1:12" x14ac:dyDescent="0.3">
      <c r="A4" s="93" t="s">
        <v>2</v>
      </c>
      <c r="B4" s="93"/>
      <c r="C4" s="93"/>
      <c r="D4" s="93"/>
      <c r="E4" s="93"/>
      <c r="F4" s="93"/>
    </row>
    <row r="6" spans="1:12" ht="19.95" customHeight="1" x14ac:dyDescent="0.3">
      <c r="A6" s="2" t="s">
        <v>3</v>
      </c>
      <c r="B6" s="2" t="s">
        <v>4</v>
      </c>
      <c r="C6" s="2" t="s">
        <v>4</v>
      </c>
    </row>
    <row r="7" spans="1:12" x14ac:dyDescent="0.3">
      <c r="A7" s="3" t="s">
        <v>5</v>
      </c>
      <c r="B7" s="4" t="s">
        <v>6</v>
      </c>
      <c r="C7" s="5" t="s">
        <v>7</v>
      </c>
    </row>
    <row r="8" spans="1:12" x14ac:dyDescent="0.3">
      <c r="A8" s="3" t="s">
        <v>8</v>
      </c>
      <c r="B8" s="6" t="s">
        <v>9</v>
      </c>
      <c r="C8" s="5" t="s">
        <v>10</v>
      </c>
    </row>
    <row r="9" spans="1:12" x14ac:dyDescent="0.3">
      <c r="A9" s="3" t="s">
        <v>11</v>
      </c>
      <c r="B9" s="6" t="s">
        <v>12</v>
      </c>
      <c r="C9" s="5" t="s">
        <v>13</v>
      </c>
    </row>
    <row r="10" spans="1:12" x14ac:dyDescent="0.3">
      <c r="A10" s="3" t="s">
        <v>14</v>
      </c>
      <c r="B10" s="6" t="s">
        <v>15</v>
      </c>
      <c r="C10" s="5" t="s">
        <v>16</v>
      </c>
    </row>
    <row r="11" spans="1:12" x14ac:dyDescent="0.3">
      <c r="A11" s="3" t="s">
        <v>17</v>
      </c>
      <c r="B11" s="7">
        <v>0.111225</v>
      </c>
      <c r="C11" s="5" t="s">
        <v>18</v>
      </c>
    </row>
    <row r="12" spans="1:12" x14ac:dyDescent="0.3">
      <c r="A12" s="3" t="s">
        <v>19</v>
      </c>
      <c r="B12" s="7">
        <v>2.5000000000000001E-2</v>
      </c>
      <c r="C12" s="5" t="s">
        <v>20</v>
      </c>
    </row>
    <row r="13" spans="1:12" x14ac:dyDescent="0.3">
      <c r="A13" s="3" t="s">
        <v>21</v>
      </c>
      <c r="B13" s="8">
        <v>50061458</v>
      </c>
      <c r="C13" s="5" t="s">
        <v>22</v>
      </c>
    </row>
    <row r="14" spans="1:12" x14ac:dyDescent="0.3">
      <c r="A14" s="3" t="s">
        <v>23</v>
      </c>
      <c r="B14" s="9">
        <v>157.85</v>
      </c>
      <c r="C14" s="5" t="s">
        <v>24</v>
      </c>
    </row>
    <row r="15" spans="1:12" x14ac:dyDescent="0.3">
      <c r="A15" s="3" t="s">
        <v>25</v>
      </c>
      <c r="B15" s="10">
        <f>BS_Cash_Q2FY26+BS_STI_Q2FY26+BS_LTI_Q2FY26</f>
        <v>1416559</v>
      </c>
      <c r="C15" s="5" t="s">
        <v>26</v>
      </c>
    </row>
    <row r="17" spans="1:6" ht="19.95" customHeight="1" x14ac:dyDescent="0.3">
      <c r="A17" s="11" t="s">
        <v>27</v>
      </c>
      <c r="B17" s="11" t="s">
        <v>4</v>
      </c>
      <c r="C17" s="11" t="s">
        <v>4</v>
      </c>
    </row>
    <row r="18" spans="1:6" x14ac:dyDescent="0.3">
      <c r="A18" s="12" t="s">
        <v>27</v>
      </c>
      <c r="B18" s="12" t="s">
        <v>28</v>
      </c>
      <c r="C18" s="12" t="s">
        <v>29</v>
      </c>
    </row>
    <row r="19" spans="1:6" x14ac:dyDescent="0.3">
      <c r="A19" s="13" t="s">
        <v>30</v>
      </c>
      <c r="B19" s="94" t="s">
        <v>31</v>
      </c>
      <c r="C19" s="95"/>
      <c r="D19" s="96"/>
      <c r="E19" s="96"/>
      <c r="F19" s="96"/>
    </row>
    <row r="20" spans="1:6" x14ac:dyDescent="0.3">
      <c r="A20" s="13" t="s">
        <v>32</v>
      </c>
      <c r="B20" s="94" t="s">
        <v>33</v>
      </c>
      <c r="C20" s="95"/>
      <c r="D20" s="96"/>
      <c r="E20" s="96"/>
      <c r="F20" s="96"/>
    </row>
    <row r="21" spans="1:6" x14ac:dyDescent="0.3">
      <c r="A21" s="13" t="s">
        <v>34</v>
      </c>
      <c r="B21" s="3" t="s">
        <v>34</v>
      </c>
      <c r="C21" s="14" t="s">
        <v>35</v>
      </c>
    </row>
    <row r="22" spans="1:6" x14ac:dyDescent="0.3">
      <c r="A22" s="13" t="s">
        <v>36</v>
      </c>
      <c r="B22" s="3" t="s">
        <v>36</v>
      </c>
      <c r="C22" s="14" t="s">
        <v>37</v>
      </c>
    </row>
    <row r="23" spans="1:6" x14ac:dyDescent="0.3">
      <c r="A23" s="13" t="s">
        <v>38</v>
      </c>
      <c r="B23" s="3" t="s">
        <v>38</v>
      </c>
      <c r="C23" s="14" t="s">
        <v>39</v>
      </c>
    </row>
    <row r="24" spans="1:6" x14ac:dyDescent="0.3">
      <c r="A24" s="13" t="s">
        <v>40</v>
      </c>
      <c r="B24" s="3" t="s">
        <v>40</v>
      </c>
      <c r="C24" s="14" t="s">
        <v>41</v>
      </c>
    </row>
    <row r="25" spans="1:6" x14ac:dyDescent="0.3">
      <c r="A25" s="13" t="s">
        <v>42</v>
      </c>
      <c r="B25" s="3" t="s">
        <v>42</v>
      </c>
      <c r="C25" s="14" t="s">
        <v>43</v>
      </c>
    </row>
    <row r="26" spans="1:6" x14ac:dyDescent="0.3">
      <c r="A26" s="13" t="s">
        <v>44</v>
      </c>
      <c r="B26" s="3" t="s">
        <v>44</v>
      </c>
      <c r="C26" s="14" t="s">
        <v>45</v>
      </c>
    </row>
    <row r="27" spans="1:6" x14ac:dyDescent="0.3">
      <c r="A27" s="13" t="s">
        <v>46</v>
      </c>
      <c r="B27" s="3" t="s">
        <v>46</v>
      </c>
      <c r="C27" s="14" t="s">
        <v>47</v>
      </c>
    </row>
    <row r="28" spans="1:6" x14ac:dyDescent="0.3">
      <c r="A28" s="13" t="s">
        <v>48</v>
      </c>
      <c r="B28" s="3" t="s">
        <v>48</v>
      </c>
      <c r="C28" s="14" t="s">
        <v>49</v>
      </c>
    </row>
    <row r="29" spans="1:6" x14ac:dyDescent="0.3">
      <c r="A29" s="13" t="s">
        <v>50</v>
      </c>
      <c r="B29" s="3" t="s">
        <v>50</v>
      </c>
      <c r="C29" s="14" t="s">
        <v>51</v>
      </c>
    </row>
    <row r="30" spans="1:6" x14ac:dyDescent="0.3">
      <c r="A30" s="13" t="s">
        <v>52</v>
      </c>
      <c r="B30" s="3" t="s">
        <v>52</v>
      </c>
      <c r="C30" s="14" t="s">
        <v>53</v>
      </c>
    </row>
    <row r="31" spans="1:6" x14ac:dyDescent="0.3">
      <c r="A31" s="13" t="s">
        <v>54</v>
      </c>
      <c r="B31" s="3" t="s">
        <v>54</v>
      </c>
      <c r="C31" s="14" t="s">
        <v>55</v>
      </c>
    </row>
    <row r="32" spans="1:6" x14ac:dyDescent="0.3">
      <c r="A32" s="13" t="s">
        <v>56</v>
      </c>
      <c r="B32" s="3" t="s">
        <v>56</v>
      </c>
      <c r="C32" s="14" t="s">
        <v>57</v>
      </c>
    </row>
    <row r="33" spans="1:8" x14ac:dyDescent="0.3">
      <c r="A33" s="13" t="s">
        <v>58</v>
      </c>
      <c r="B33" s="3" t="s">
        <v>58</v>
      </c>
      <c r="C33" s="14" t="s">
        <v>59</v>
      </c>
    </row>
    <row r="34" spans="1:8" x14ac:dyDescent="0.3">
      <c r="A34" s="13" t="s">
        <v>60</v>
      </c>
      <c r="B34" s="3" t="s">
        <v>60</v>
      </c>
      <c r="C34" s="14" t="s">
        <v>61</v>
      </c>
    </row>
    <row r="35" spans="1:8" x14ac:dyDescent="0.3">
      <c r="A35" s="13" t="s">
        <v>62</v>
      </c>
      <c r="B35" s="3" t="s">
        <v>62</v>
      </c>
      <c r="C35" s="14" t="s">
        <v>63</v>
      </c>
    </row>
    <row r="36" spans="1:8" x14ac:dyDescent="0.3">
      <c r="A36" s="13" t="s">
        <v>64</v>
      </c>
      <c r="B36" s="3" t="s">
        <v>64</v>
      </c>
      <c r="C36" s="14" t="s">
        <v>65</v>
      </c>
    </row>
    <row r="37" spans="1:8" x14ac:dyDescent="0.3">
      <c r="A37" s="13" t="s">
        <v>66</v>
      </c>
      <c r="B37" s="3" t="s">
        <v>66</v>
      </c>
      <c r="C37" s="14" t="s">
        <v>67</v>
      </c>
    </row>
    <row r="38" spans="1:8" ht="30" customHeight="1" x14ac:dyDescent="0.3">
      <c r="A38" s="15" t="s">
        <v>68</v>
      </c>
      <c r="B38" s="97" t="s">
        <v>69</v>
      </c>
      <c r="C38" s="97"/>
      <c r="D38" s="97"/>
      <c r="E38" s="97"/>
      <c r="F38" s="97"/>
      <c r="G38" s="97"/>
      <c r="H38" s="97"/>
    </row>
    <row r="39" spans="1:8" ht="30" customHeight="1" x14ac:dyDescent="0.3">
      <c r="A39" s="15" t="s">
        <v>70</v>
      </c>
      <c r="B39" s="97" t="s">
        <v>71</v>
      </c>
      <c r="C39" s="97"/>
      <c r="D39" s="97"/>
      <c r="E39" s="97"/>
      <c r="F39" s="97"/>
      <c r="G39" s="97"/>
      <c r="H39" s="97"/>
    </row>
  </sheetData>
  <sheetProtection sheet="1" formatCells="0" formatColumns="0" formatRows="0" insertRows="0" deleteRows="0" sort="0" autoFilter="0"/>
  <mergeCells count="7">
    <mergeCell ref="B38:H38"/>
    <mergeCell ref="B39:H39"/>
    <mergeCell ref="A1:L1"/>
    <mergeCell ref="A2:L2"/>
    <mergeCell ref="A4:F4"/>
    <mergeCell ref="B19:F19"/>
    <mergeCell ref="B20:F20"/>
  </mergeCells>
  <hyperlinks>
    <hyperlink ref="A19" location="00_Cover!A1" display="00_Cover" xr:uid="{00000000-0004-0000-0000-000000000000}"/>
    <hyperlink ref="A20" location="01_Control!A1" display="01_Control" xr:uid="{00000000-0004-0000-0000-000001000000}"/>
    <hyperlink ref="A21" location="02_Sources!A1" display="02_Sources" xr:uid="{00000000-0004-0000-0000-000002000000}"/>
    <hyperlink ref="A22" location="03_Historicals!A1" display="03_Historicals" xr:uid="{00000000-0004-0000-0000-000003000000}"/>
    <hyperlink ref="A23" location="04_Assumptions!A1" display="04_Assumptions" xr:uid="{00000000-0004-0000-0000-000004000000}"/>
    <hyperlink ref="A24" location="05_User_Model!A1" display="05_User_Model" xr:uid="{00000000-0004-0000-0000-000005000000}"/>
    <hyperlink ref="A25" location="06_Revenue_Bookings!A1" display="06_Revenue_Bookings" xr:uid="{00000000-0004-0000-0000-000006000000}"/>
    <hyperlink ref="A26" location="07_Costs_Opex!A1" display="07_Costs_Opex" xr:uid="{00000000-0004-0000-0000-000007000000}"/>
    <hyperlink ref="A27" location="08_Working_Capital!A1" display="08_Working_Capital" xr:uid="{00000000-0004-0000-0000-000008000000}"/>
    <hyperlink ref="A28" location="09_Capex_DA!A1" display="09_Capex_DA" xr:uid="{00000000-0004-0000-0000-000009000000}"/>
    <hyperlink ref="A29" location="10_SBC_Shares!A1" display="10_SBC_Shares" xr:uid="{00000000-0004-0000-0000-00000A000000}"/>
    <hyperlink ref="A30" location="11_Taxes!A1" display="11_Taxes" xr:uid="{00000000-0004-0000-0000-00000B000000}"/>
    <hyperlink ref="A31" location="12_IS!A1" display="12_IS" xr:uid="{00000000-0004-0000-0000-00000C000000}"/>
    <hyperlink ref="A32" location="13_BS!A1" display="13_BS" xr:uid="{00000000-0004-0000-0000-00000D000000}"/>
    <hyperlink ref="A33" location="14_CF!A1" display="14_CF" xr:uid="{00000000-0004-0000-0000-00000E000000}"/>
    <hyperlink ref="A34" location="15_DCF!A1" display="15_DCF" xr:uid="{00000000-0004-0000-0000-00000F000000}"/>
    <hyperlink ref="A35" location="16_Scenarios_Sens!A1" display="16_Scenarios_Sens" xr:uid="{00000000-0004-0000-0000-000010000000}"/>
    <hyperlink ref="A36" location="17_Checks!A1" display="17_Checks" xr:uid="{00000000-0004-0000-0000-000011000000}"/>
    <hyperlink ref="A37" location="18_Summary!A1" display="18_Summary" xr:uid="{00000000-0004-0000-0000-000012000000}"/>
  </hyperlinks>
  <pageMargins left="0.7" right="0.7" top="0.75" bottom="0.75" header="0.3" footer="0.3"/>
  <pageSetup fitToHeight="0" orientation="landscape" useFirstPageNumber="1" horizontalDpi="4294967295" verticalDpi="4294967295"/>
  <headerFooter>
    <oddHeader>&amp;L&amp;"Calibri,Bold"00_Cover&amp;R&amp;P / &amp;N</oddHeader>
    <oddFooter>&amp;LInternal model — not investment advice&amp;RAs-of 2026-10-06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2937"/>
    <pageSetUpPr fitToPage="1"/>
  </sheetPr>
  <dimension ref="A1:L28"/>
  <sheetViews>
    <sheetView zoomScaleNormal="100" workbookViewId="0">
      <pane xSplit="1" ySplit="4" topLeftCell="B5" activePane="bottomRight" state="frozen"/>
      <selection pane="topRight"/>
      <selection pane="bottomLeft"/>
      <selection pane="bottomRight" sqref="A1:L1"/>
    </sheetView>
  </sheetViews>
  <sheetFormatPr defaultRowHeight="14.4" x14ac:dyDescent="0.3"/>
  <cols>
    <col min="1" max="1" width="58.6640625" bestFit="1" customWidth="1"/>
    <col min="2" max="2" width="61" bestFit="1" customWidth="1"/>
    <col min="3" max="3" width="62" customWidth="1"/>
  </cols>
  <sheetData>
    <row r="1" spans="1:12" ht="22.05" customHeight="1" x14ac:dyDescent="0.4">
      <c r="A1" s="91" t="s">
        <v>72</v>
      </c>
      <c r="B1" s="91"/>
      <c r="C1" s="91"/>
      <c r="D1" s="91"/>
      <c r="E1" s="91"/>
      <c r="F1" s="91"/>
      <c r="G1" s="91"/>
      <c r="H1" s="91"/>
      <c r="I1" s="91"/>
      <c r="J1" s="91"/>
      <c r="K1" s="91"/>
      <c r="L1" s="91"/>
    </row>
    <row r="2" spans="1:12" x14ac:dyDescent="0.3">
      <c r="A2" s="92" t="s">
        <v>73</v>
      </c>
      <c r="B2" s="92"/>
      <c r="C2" s="92"/>
      <c r="D2" s="92"/>
      <c r="E2" s="92"/>
      <c r="F2" s="92"/>
      <c r="G2" s="92"/>
      <c r="H2" s="92"/>
      <c r="I2" s="92"/>
      <c r="J2" s="92"/>
      <c r="K2" s="92"/>
      <c r="L2" s="92"/>
    </row>
    <row r="4" spans="1:12" ht="19.95" customHeight="1" x14ac:dyDescent="0.3">
      <c r="A4" s="2" t="s">
        <v>74</v>
      </c>
      <c r="B4" s="2" t="s">
        <v>4</v>
      </c>
      <c r="C4" s="2" t="s">
        <v>4</v>
      </c>
    </row>
    <row r="5" spans="1:12" ht="18" customHeight="1" x14ac:dyDescent="0.3">
      <c r="A5" s="3" t="s">
        <v>75</v>
      </c>
      <c r="B5" s="16" t="s">
        <v>76</v>
      </c>
      <c r="C5" s="17" t="s">
        <v>77</v>
      </c>
    </row>
    <row r="6" spans="1:12" ht="18" customHeight="1" x14ac:dyDescent="0.3">
      <c r="A6" s="3" t="s">
        <v>78</v>
      </c>
      <c r="B6" s="16" t="s">
        <v>79</v>
      </c>
      <c r="C6" s="17" t="s">
        <v>80</v>
      </c>
    </row>
    <row r="7" spans="1:12" ht="18" customHeight="1" x14ac:dyDescent="0.3">
      <c r="A7" s="3" t="s">
        <v>81</v>
      </c>
      <c r="B7" s="6" t="s">
        <v>15</v>
      </c>
      <c r="C7" s="17" t="s">
        <v>82</v>
      </c>
    </row>
    <row r="8" spans="1:12" ht="18" customHeight="1" x14ac:dyDescent="0.3">
      <c r="A8" s="3" t="s">
        <v>83</v>
      </c>
      <c r="B8" s="16" t="s">
        <v>84</v>
      </c>
      <c r="C8" s="17" t="s">
        <v>85</v>
      </c>
    </row>
    <row r="9" spans="1:12" ht="18" customHeight="1" x14ac:dyDescent="0.3">
      <c r="A9" s="3" t="s">
        <v>86</v>
      </c>
      <c r="B9" s="16" t="s">
        <v>87</v>
      </c>
      <c r="C9" s="17" t="s">
        <v>88</v>
      </c>
    </row>
    <row r="10" spans="1:12" ht="18" customHeight="1" x14ac:dyDescent="0.3">
      <c r="A10" s="3" t="s">
        <v>89</v>
      </c>
      <c r="B10" s="16" t="s">
        <v>90</v>
      </c>
      <c r="C10" s="17" t="s">
        <v>91</v>
      </c>
    </row>
    <row r="11" spans="1:12" ht="18" customHeight="1" x14ac:dyDescent="0.3">
      <c r="A11" s="3" t="s">
        <v>92</v>
      </c>
      <c r="B11" s="16" t="s">
        <v>93</v>
      </c>
      <c r="C11" s="17" t="s">
        <v>94</v>
      </c>
    </row>
    <row r="12" spans="1:12" ht="18" customHeight="1" x14ac:dyDescent="0.3">
      <c r="A12" s="3" t="s">
        <v>95</v>
      </c>
      <c r="B12" s="16" t="s">
        <v>96</v>
      </c>
      <c r="C12" s="17" t="s">
        <v>97</v>
      </c>
    </row>
    <row r="13" spans="1:12" x14ac:dyDescent="0.3">
      <c r="A13" s="3" t="s">
        <v>98</v>
      </c>
      <c r="B13" s="18">
        <v>1000</v>
      </c>
      <c r="C13" s="5" t="s">
        <v>99</v>
      </c>
    </row>
    <row r="15" spans="1:12" ht="19.95" customHeight="1" x14ac:dyDescent="0.3">
      <c r="A15" s="11" t="s">
        <v>100</v>
      </c>
      <c r="B15" s="11" t="s">
        <v>4</v>
      </c>
      <c r="C15" s="11" t="s">
        <v>4</v>
      </c>
    </row>
    <row r="16" spans="1:12" x14ac:dyDescent="0.3">
      <c r="A16" s="3" t="s">
        <v>101</v>
      </c>
      <c r="B16" s="19" t="s">
        <v>102</v>
      </c>
      <c r="C16" s="5" t="s">
        <v>103</v>
      </c>
    </row>
    <row r="17" spans="1:12" x14ac:dyDescent="0.3">
      <c r="A17" s="3" t="s">
        <v>104</v>
      </c>
      <c r="B17" s="19" t="s">
        <v>105</v>
      </c>
      <c r="C17" s="5" t="s">
        <v>106</v>
      </c>
    </row>
    <row r="18" spans="1:12" x14ac:dyDescent="0.3">
      <c r="A18" s="3" t="s">
        <v>107</v>
      </c>
      <c r="B18" s="19" t="s">
        <v>108</v>
      </c>
      <c r="C18" s="5" t="s">
        <v>109</v>
      </c>
    </row>
    <row r="19" spans="1:12" x14ac:dyDescent="0.3">
      <c r="A19" s="3" t="s">
        <v>110</v>
      </c>
      <c r="B19" s="19" t="s">
        <v>111</v>
      </c>
      <c r="C19" s="5" t="s">
        <v>112</v>
      </c>
    </row>
    <row r="21" spans="1:12" x14ac:dyDescent="0.3">
      <c r="A21" s="20" t="s">
        <v>113</v>
      </c>
    </row>
    <row r="22" spans="1:12" ht="25.95" customHeight="1" x14ac:dyDescent="0.3">
      <c r="A22" s="97" t="s">
        <v>114</v>
      </c>
      <c r="B22" s="97"/>
      <c r="C22" s="97"/>
      <c r="D22" s="97"/>
      <c r="E22" s="97"/>
      <c r="F22" s="97"/>
      <c r="G22" s="97"/>
      <c r="H22" s="97"/>
      <c r="I22" s="97"/>
      <c r="J22" s="97"/>
      <c r="K22" s="97"/>
      <c r="L22" s="97"/>
    </row>
    <row r="23" spans="1:12" ht="25.95" customHeight="1" x14ac:dyDescent="0.3">
      <c r="A23" s="97" t="s">
        <v>115</v>
      </c>
      <c r="B23" s="97"/>
      <c r="C23" s="97"/>
      <c r="D23" s="97"/>
      <c r="E23" s="97"/>
      <c r="F23" s="97"/>
      <c r="G23" s="97"/>
      <c r="H23" s="97"/>
      <c r="I23" s="97"/>
      <c r="J23" s="97"/>
      <c r="K23" s="97"/>
      <c r="L23" s="97"/>
    </row>
    <row r="24" spans="1:12" ht="25.95" customHeight="1" x14ac:dyDescent="0.3">
      <c r="A24" s="97" t="s">
        <v>116</v>
      </c>
      <c r="B24" s="97"/>
      <c r="C24" s="97"/>
      <c r="D24" s="97"/>
      <c r="E24" s="97"/>
      <c r="F24" s="97"/>
      <c r="G24" s="97"/>
      <c r="H24" s="97"/>
      <c r="I24" s="97"/>
      <c r="J24" s="97"/>
      <c r="K24" s="97"/>
      <c r="L24" s="97"/>
    </row>
    <row r="25" spans="1:12" ht="25.95" customHeight="1" x14ac:dyDescent="0.3">
      <c r="A25" s="97" t="s">
        <v>117</v>
      </c>
      <c r="B25" s="97"/>
      <c r="C25" s="97"/>
      <c r="D25" s="97"/>
      <c r="E25" s="97"/>
      <c r="F25" s="97"/>
      <c r="G25" s="97"/>
      <c r="H25" s="97"/>
      <c r="I25" s="97"/>
      <c r="J25" s="97"/>
      <c r="K25" s="97"/>
      <c r="L25" s="97"/>
    </row>
    <row r="26" spans="1:12" ht="25.95" customHeight="1" x14ac:dyDescent="0.3">
      <c r="A26" s="97" t="s">
        <v>118</v>
      </c>
      <c r="B26" s="97"/>
      <c r="C26" s="97"/>
      <c r="D26" s="97"/>
      <c r="E26" s="97"/>
      <c r="F26" s="97"/>
      <c r="G26" s="97"/>
      <c r="H26" s="97"/>
      <c r="I26" s="97"/>
      <c r="J26" s="97"/>
      <c r="K26" s="97"/>
      <c r="L26" s="97"/>
    </row>
    <row r="27" spans="1:12" ht="25.95" customHeight="1" x14ac:dyDescent="0.3">
      <c r="A27" s="97" t="s">
        <v>119</v>
      </c>
      <c r="B27" s="97"/>
      <c r="C27" s="97"/>
      <c r="D27" s="97"/>
      <c r="E27" s="97"/>
      <c r="F27" s="97"/>
      <c r="G27" s="97"/>
      <c r="H27" s="97"/>
      <c r="I27" s="97"/>
      <c r="J27" s="97"/>
      <c r="K27" s="97"/>
      <c r="L27" s="97"/>
    </row>
    <row r="28" spans="1:12" ht="25.95" customHeight="1" x14ac:dyDescent="0.3">
      <c r="A28" s="97" t="s">
        <v>120</v>
      </c>
      <c r="B28" s="97"/>
      <c r="C28" s="97"/>
      <c r="D28" s="97"/>
      <c r="E28" s="97"/>
      <c r="F28" s="97"/>
      <c r="G28" s="97"/>
      <c r="H28" s="97"/>
      <c r="I28" s="97"/>
      <c r="J28" s="97"/>
      <c r="K28" s="97"/>
      <c r="L28" s="97"/>
    </row>
  </sheetData>
  <sheetProtection sheet="1" formatCells="0" formatColumns="0" formatRows="0" insertRows="0" deleteRows="0" sort="0" autoFilter="0"/>
  <mergeCells count="9">
    <mergeCell ref="A25:L25"/>
    <mergeCell ref="A26:L26"/>
    <mergeCell ref="A27:L27"/>
    <mergeCell ref="A28:L28"/>
    <mergeCell ref="A1:L1"/>
    <mergeCell ref="A2:L2"/>
    <mergeCell ref="A22:L22"/>
    <mergeCell ref="A23:L23"/>
    <mergeCell ref="A24:L24"/>
  </mergeCells>
  <dataValidations count="1">
    <dataValidation type="list" allowBlank="1" sqref="B7" xr:uid="{00000000-0002-0000-0100-000000000000}">
      <formula1>"base,bull,bear"</formula1>
    </dataValidation>
  </dataValidations>
  <pageMargins left="0.7" right="0.7" top="0.75" bottom="0.75" header="0.3" footer="0.3"/>
  <pageSetup fitToHeight="0" orientation="landscape" useFirstPageNumber="1" horizontalDpi="4294967295" verticalDpi="4294967295"/>
  <headerFooter>
    <oddHeader>&amp;L&amp;"Calibri,Bold"01_Control&amp;R&amp;P / &amp;N</oddHeader>
    <oddFooter>&amp;LInternal model — not investment advice&amp;RAs-of 2026-10-06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2937"/>
    <pageSetUpPr fitToPage="1"/>
  </sheetPr>
  <dimension ref="A1:N711"/>
  <sheetViews>
    <sheetView zoomScaleNormal="100" workbookViewId="0">
      <pane xSplit="1" ySplit="5" topLeftCell="B6" activePane="bottomRight" state="frozen"/>
      <selection pane="topRight"/>
      <selection pane="bottomLeft"/>
      <selection pane="bottomRight" sqref="A1:L1"/>
    </sheetView>
  </sheetViews>
  <sheetFormatPr defaultRowHeight="14.4" x14ac:dyDescent="0.3"/>
  <cols>
    <col min="1" max="1" width="12" customWidth="1"/>
    <col min="2" max="2" width="34" customWidth="1"/>
    <col min="3" max="3" width="44" customWidth="1"/>
    <col min="4" max="4" width="12" customWidth="1"/>
    <col min="5" max="5" width="13" customWidth="1"/>
    <col min="6" max="6" width="16" customWidth="1"/>
    <col min="7" max="7" width="15" customWidth="1"/>
    <col min="8" max="8" width="8" customWidth="1"/>
    <col min="9" max="9" width="10" customWidth="1"/>
    <col min="10" max="10" width="24" customWidth="1"/>
    <col min="11" max="11" width="52" customWidth="1"/>
    <col min="12" max="12" width="60" customWidth="1"/>
    <col min="13" max="13" width="12" customWidth="1"/>
    <col min="14" max="14" width="64" customWidth="1"/>
  </cols>
  <sheetData>
    <row r="1" spans="1:14" ht="22.05" customHeight="1" x14ac:dyDescent="0.4">
      <c r="A1" s="91" t="s">
        <v>121</v>
      </c>
      <c r="B1" s="91"/>
      <c r="C1" s="91"/>
      <c r="D1" s="91"/>
      <c r="E1" s="91"/>
      <c r="F1" s="91"/>
      <c r="G1" s="91"/>
      <c r="H1" s="91"/>
      <c r="I1" s="91"/>
      <c r="J1" s="91"/>
      <c r="K1" s="91"/>
      <c r="L1" s="91"/>
    </row>
    <row r="2" spans="1:14" x14ac:dyDescent="0.3">
      <c r="A2" s="92" t="s">
        <v>122</v>
      </c>
      <c r="B2" s="92"/>
      <c r="C2" s="92"/>
      <c r="D2" s="92"/>
      <c r="E2" s="92"/>
      <c r="F2" s="92"/>
      <c r="G2" s="92"/>
      <c r="H2" s="92"/>
      <c r="I2" s="92"/>
      <c r="J2" s="92"/>
      <c r="K2" s="92"/>
      <c r="L2" s="92"/>
    </row>
    <row r="4" spans="1:14" x14ac:dyDescent="0.3">
      <c r="A4" s="1" t="s">
        <v>123</v>
      </c>
    </row>
    <row r="5" spans="1:14" ht="19.95" customHeight="1" x14ac:dyDescent="0.3">
      <c r="A5" s="2" t="s">
        <v>124</v>
      </c>
      <c r="B5" s="2" t="s">
        <v>125</v>
      </c>
      <c r="C5" s="2" t="s">
        <v>126</v>
      </c>
      <c r="D5" s="2" t="s">
        <v>127</v>
      </c>
      <c r="E5" s="2" t="s">
        <v>128</v>
      </c>
      <c r="F5" s="2" t="s">
        <v>129</v>
      </c>
      <c r="G5" s="2" t="s">
        <v>8</v>
      </c>
      <c r="H5" s="2" t="s">
        <v>130</v>
      </c>
      <c r="I5" s="2" t="s">
        <v>131</v>
      </c>
      <c r="J5" s="2" t="s">
        <v>132</v>
      </c>
      <c r="K5" s="2" t="s">
        <v>133</v>
      </c>
      <c r="L5" s="2" t="s">
        <v>134</v>
      </c>
      <c r="M5" s="2" t="s">
        <v>135</v>
      </c>
      <c r="N5" s="2" t="s">
        <v>136</v>
      </c>
    </row>
    <row r="6" spans="1:14" ht="15" customHeight="1" x14ac:dyDescent="0.3">
      <c r="A6" s="21" t="s">
        <v>137</v>
      </c>
      <c r="B6" s="21" t="s">
        <v>138</v>
      </c>
      <c r="C6" s="21" t="s">
        <v>139</v>
      </c>
      <c r="D6" s="21" t="s">
        <v>140</v>
      </c>
      <c r="E6" s="21" t="s">
        <v>141</v>
      </c>
      <c r="F6" s="22">
        <v>180698</v>
      </c>
      <c r="G6" s="21" t="s">
        <v>142</v>
      </c>
      <c r="H6" s="23">
        <v>1000</v>
      </c>
      <c r="I6" s="21" t="s">
        <v>143</v>
      </c>
      <c r="J6" s="21" t="s">
        <v>144</v>
      </c>
      <c r="K6" s="21" t="s">
        <v>145</v>
      </c>
      <c r="L6" s="21" t="s">
        <v>146</v>
      </c>
      <c r="M6" s="23" t="s">
        <v>147</v>
      </c>
      <c r="N6" s="24" t="s">
        <v>145</v>
      </c>
    </row>
    <row r="7" spans="1:14" ht="15" customHeight="1" x14ac:dyDescent="0.3">
      <c r="A7" s="25" t="s">
        <v>137</v>
      </c>
      <c r="B7" s="25" t="s">
        <v>148</v>
      </c>
      <c r="C7" s="25" t="s">
        <v>149</v>
      </c>
      <c r="D7" s="25" t="s">
        <v>140</v>
      </c>
      <c r="E7" s="25" t="s">
        <v>141</v>
      </c>
      <c r="F7" s="26">
        <v>38501</v>
      </c>
      <c r="G7" s="25" t="s">
        <v>142</v>
      </c>
      <c r="H7" s="27">
        <v>1000</v>
      </c>
      <c r="I7" s="25" t="s">
        <v>143</v>
      </c>
      <c r="J7" s="25" t="s">
        <v>144</v>
      </c>
      <c r="K7" s="25" t="s">
        <v>145</v>
      </c>
      <c r="L7" s="25" t="s">
        <v>146</v>
      </c>
      <c r="M7" s="27" t="s">
        <v>147</v>
      </c>
      <c r="N7" s="28" t="s">
        <v>145</v>
      </c>
    </row>
    <row r="8" spans="1:14" ht="15" customHeight="1" x14ac:dyDescent="0.3">
      <c r="A8" s="21" t="s">
        <v>137</v>
      </c>
      <c r="B8" s="21" t="s">
        <v>150</v>
      </c>
      <c r="C8" s="21" t="s">
        <v>151</v>
      </c>
      <c r="D8" s="21" t="s">
        <v>140</v>
      </c>
      <c r="E8" s="21" t="s">
        <v>141</v>
      </c>
      <c r="F8" s="22">
        <v>24658</v>
      </c>
      <c r="G8" s="21" t="s">
        <v>142</v>
      </c>
      <c r="H8" s="23">
        <v>1000</v>
      </c>
      <c r="I8" s="21" t="s">
        <v>143</v>
      </c>
      <c r="J8" s="21" t="s">
        <v>144</v>
      </c>
      <c r="K8" s="21" t="s">
        <v>145</v>
      </c>
      <c r="L8" s="21" t="s">
        <v>146</v>
      </c>
      <c r="M8" s="23" t="s">
        <v>147</v>
      </c>
      <c r="N8" s="24" t="s">
        <v>145</v>
      </c>
    </row>
    <row r="9" spans="1:14" ht="15" customHeight="1" x14ac:dyDescent="0.3">
      <c r="A9" s="25" t="s">
        <v>137</v>
      </c>
      <c r="B9" s="25" t="s">
        <v>152</v>
      </c>
      <c r="C9" s="25" t="s">
        <v>153</v>
      </c>
      <c r="D9" s="25" t="s">
        <v>140</v>
      </c>
      <c r="E9" s="25" t="s">
        <v>141</v>
      </c>
      <c r="F9" s="26">
        <v>6836</v>
      </c>
      <c r="G9" s="25" t="s">
        <v>142</v>
      </c>
      <c r="H9" s="27">
        <v>1000</v>
      </c>
      <c r="I9" s="25" t="s">
        <v>143</v>
      </c>
      <c r="J9" s="25" t="s">
        <v>144</v>
      </c>
      <c r="K9" s="25" t="s">
        <v>145</v>
      </c>
      <c r="L9" s="25" t="s">
        <v>146</v>
      </c>
      <c r="M9" s="27" t="s">
        <v>147</v>
      </c>
      <c r="N9" s="28" t="s">
        <v>145</v>
      </c>
    </row>
    <row r="10" spans="1:14" ht="15" customHeight="1" x14ac:dyDescent="0.3">
      <c r="A10" s="21" t="s">
        <v>137</v>
      </c>
      <c r="B10" s="21" t="s">
        <v>154</v>
      </c>
      <c r="C10" s="21" t="s">
        <v>155</v>
      </c>
      <c r="D10" s="21" t="s">
        <v>140</v>
      </c>
      <c r="E10" s="21" t="s">
        <v>141</v>
      </c>
      <c r="F10" s="22">
        <v>79</v>
      </c>
      <c r="G10" s="21" t="s">
        <v>142</v>
      </c>
      <c r="H10" s="23">
        <v>1000</v>
      </c>
      <c r="I10" s="21" t="s">
        <v>143</v>
      </c>
      <c r="J10" s="21" t="s">
        <v>144</v>
      </c>
      <c r="K10" s="21" t="s">
        <v>145</v>
      </c>
      <c r="L10" s="21" t="s">
        <v>146</v>
      </c>
      <c r="M10" s="23" t="s">
        <v>147</v>
      </c>
      <c r="N10" s="24" t="s">
        <v>145</v>
      </c>
    </row>
    <row r="11" spans="1:14" ht="15" customHeight="1" x14ac:dyDescent="0.3">
      <c r="A11" s="25" t="s">
        <v>137</v>
      </c>
      <c r="B11" s="25" t="s">
        <v>156</v>
      </c>
      <c r="C11" s="25" t="s">
        <v>157</v>
      </c>
      <c r="D11" s="25" t="s">
        <v>140</v>
      </c>
      <c r="E11" s="25" t="s">
        <v>141</v>
      </c>
      <c r="F11" s="26">
        <v>250772</v>
      </c>
      <c r="G11" s="25" t="s">
        <v>142</v>
      </c>
      <c r="H11" s="27">
        <v>1000</v>
      </c>
      <c r="I11" s="25" t="s">
        <v>143</v>
      </c>
      <c r="J11" s="25" t="s">
        <v>144</v>
      </c>
      <c r="K11" s="25" t="s">
        <v>145</v>
      </c>
      <c r="L11" s="25" t="s">
        <v>146</v>
      </c>
      <c r="M11" s="27" t="s">
        <v>147</v>
      </c>
      <c r="N11" s="28" t="s">
        <v>145</v>
      </c>
    </row>
    <row r="12" spans="1:14" ht="15" customHeight="1" x14ac:dyDescent="0.3">
      <c r="A12" s="21" t="s">
        <v>137</v>
      </c>
      <c r="B12" s="21" t="s">
        <v>158</v>
      </c>
      <c r="C12" s="21" t="s">
        <v>159</v>
      </c>
      <c r="D12" s="21" t="s">
        <v>140</v>
      </c>
      <c r="E12" s="21" t="s">
        <v>141</v>
      </c>
      <c r="F12" s="22">
        <v>69186</v>
      </c>
      <c r="G12" s="21" t="s">
        <v>142</v>
      </c>
      <c r="H12" s="23">
        <v>1000</v>
      </c>
      <c r="I12" s="21" t="s">
        <v>143</v>
      </c>
      <c r="J12" s="21" t="s">
        <v>144</v>
      </c>
      <c r="K12" s="21" t="s">
        <v>160</v>
      </c>
      <c r="L12" s="21" t="s">
        <v>146</v>
      </c>
      <c r="M12" s="23" t="s">
        <v>147</v>
      </c>
      <c r="N12" s="24" t="s">
        <v>160</v>
      </c>
    </row>
    <row r="13" spans="1:14" ht="15" customHeight="1" x14ac:dyDescent="0.3">
      <c r="A13" s="25" t="s">
        <v>137</v>
      </c>
      <c r="B13" s="25" t="s">
        <v>161</v>
      </c>
      <c r="C13" s="25" t="s">
        <v>162</v>
      </c>
      <c r="D13" s="25" t="s">
        <v>140</v>
      </c>
      <c r="E13" s="25" t="s">
        <v>141</v>
      </c>
      <c r="F13" s="26">
        <v>181586</v>
      </c>
      <c r="G13" s="25" t="s">
        <v>142</v>
      </c>
      <c r="H13" s="27">
        <v>1000</v>
      </c>
      <c r="I13" s="25" t="s">
        <v>143</v>
      </c>
      <c r="J13" s="25" t="s">
        <v>144</v>
      </c>
      <c r="K13" s="25" t="s">
        <v>160</v>
      </c>
      <c r="L13" s="25" t="s">
        <v>146</v>
      </c>
      <c r="M13" s="27" t="s">
        <v>147</v>
      </c>
      <c r="N13" s="28" t="s">
        <v>160</v>
      </c>
    </row>
    <row r="14" spans="1:14" ht="15" customHeight="1" x14ac:dyDescent="0.3">
      <c r="A14" s="21" t="s">
        <v>137</v>
      </c>
      <c r="B14" s="21" t="s">
        <v>163</v>
      </c>
      <c r="C14" s="21" t="s">
        <v>164</v>
      </c>
      <c r="D14" s="21" t="s">
        <v>140</v>
      </c>
      <c r="E14" s="21" t="s">
        <v>141</v>
      </c>
      <c r="F14" s="22">
        <v>103833</v>
      </c>
      <c r="G14" s="21" t="s">
        <v>142</v>
      </c>
      <c r="H14" s="23">
        <v>1000</v>
      </c>
      <c r="I14" s="21" t="s">
        <v>143</v>
      </c>
      <c r="J14" s="21" t="s">
        <v>144</v>
      </c>
      <c r="K14" s="21" t="s">
        <v>160</v>
      </c>
      <c r="L14" s="21" t="s">
        <v>146</v>
      </c>
      <c r="M14" s="23" t="s">
        <v>147</v>
      </c>
      <c r="N14" s="24" t="s">
        <v>160</v>
      </c>
    </row>
    <row r="15" spans="1:14" ht="15" customHeight="1" x14ac:dyDescent="0.3">
      <c r="A15" s="25" t="s">
        <v>137</v>
      </c>
      <c r="B15" s="25" t="s">
        <v>165</v>
      </c>
      <c r="C15" s="25" t="s">
        <v>166</v>
      </c>
      <c r="D15" s="25" t="s">
        <v>140</v>
      </c>
      <c r="E15" s="25" t="s">
        <v>141</v>
      </c>
      <c r="F15" s="26">
        <v>59170</v>
      </c>
      <c r="G15" s="25" t="s">
        <v>142</v>
      </c>
      <c r="H15" s="27">
        <v>1000</v>
      </c>
      <c r="I15" s="25" t="s">
        <v>143</v>
      </c>
      <c r="J15" s="25" t="s">
        <v>144</v>
      </c>
      <c r="K15" s="25" t="s">
        <v>160</v>
      </c>
      <c r="L15" s="25" t="s">
        <v>146</v>
      </c>
      <c r="M15" s="27" t="s">
        <v>147</v>
      </c>
      <c r="N15" s="28" t="s">
        <v>160</v>
      </c>
    </row>
    <row r="16" spans="1:14" ht="15" customHeight="1" x14ac:dyDescent="0.3">
      <c r="A16" s="21" t="s">
        <v>137</v>
      </c>
      <c r="B16" s="21" t="s">
        <v>167</v>
      </c>
      <c r="C16" s="21" t="s">
        <v>168</v>
      </c>
      <c r="D16" s="21" t="s">
        <v>140</v>
      </c>
      <c r="E16" s="21" t="s">
        <v>141</v>
      </c>
      <c r="F16" s="22">
        <v>78590</v>
      </c>
      <c r="G16" s="21" t="s">
        <v>142</v>
      </c>
      <c r="H16" s="23">
        <v>1000</v>
      </c>
      <c r="I16" s="21" t="s">
        <v>143</v>
      </c>
      <c r="J16" s="21" t="s">
        <v>144</v>
      </c>
      <c r="K16" s="21" t="s">
        <v>160</v>
      </c>
      <c r="L16" s="21" t="s">
        <v>146</v>
      </c>
      <c r="M16" s="23" t="s">
        <v>147</v>
      </c>
      <c r="N16" s="24" t="s">
        <v>160</v>
      </c>
    </row>
    <row r="17" spans="1:14" ht="15" customHeight="1" x14ac:dyDescent="0.3">
      <c r="A17" s="25" t="s">
        <v>137</v>
      </c>
      <c r="B17" s="25" t="s">
        <v>169</v>
      </c>
      <c r="C17" s="25" t="s">
        <v>170</v>
      </c>
      <c r="D17" s="25" t="s">
        <v>140</v>
      </c>
      <c r="E17" s="25" t="s">
        <v>141</v>
      </c>
      <c r="F17" s="26">
        <v>241593</v>
      </c>
      <c r="G17" s="25" t="s">
        <v>142</v>
      </c>
      <c r="H17" s="27">
        <v>1000</v>
      </c>
      <c r="I17" s="25" t="s">
        <v>143</v>
      </c>
      <c r="J17" s="25" t="s">
        <v>144</v>
      </c>
      <c r="K17" s="25" t="s">
        <v>160</v>
      </c>
      <c r="L17" s="25" t="s">
        <v>146</v>
      </c>
      <c r="M17" s="27" t="s">
        <v>147</v>
      </c>
      <c r="N17" s="28" t="s">
        <v>160</v>
      </c>
    </row>
    <row r="18" spans="1:14" ht="15" customHeight="1" x14ac:dyDescent="0.3">
      <c r="A18" s="21" t="s">
        <v>137</v>
      </c>
      <c r="B18" s="21" t="s">
        <v>171</v>
      </c>
      <c r="C18" s="21" t="s">
        <v>172</v>
      </c>
      <c r="D18" s="21" t="s">
        <v>140</v>
      </c>
      <c r="E18" s="21" t="s">
        <v>141</v>
      </c>
      <c r="F18" s="22">
        <v>-60007</v>
      </c>
      <c r="G18" s="21" t="s">
        <v>142</v>
      </c>
      <c r="H18" s="23">
        <v>1000</v>
      </c>
      <c r="I18" s="21" t="s">
        <v>143</v>
      </c>
      <c r="J18" s="21" t="s">
        <v>144</v>
      </c>
      <c r="K18" s="21" t="s">
        <v>160</v>
      </c>
      <c r="L18" s="21" t="s">
        <v>146</v>
      </c>
      <c r="M18" s="23" t="s">
        <v>147</v>
      </c>
      <c r="N18" s="24" t="s">
        <v>160</v>
      </c>
    </row>
    <row r="19" spans="1:14" ht="15" customHeight="1" x14ac:dyDescent="0.3">
      <c r="A19" s="25" t="s">
        <v>137</v>
      </c>
      <c r="B19" s="25" t="s">
        <v>173</v>
      </c>
      <c r="C19" s="25" t="s">
        <v>174</v>
      </c>
      <c r="D19" s="25" t="s">
        <v>140</v>
      </c>
      <c r="E19" s="25" t="s">
        <v>141</v>
      </c>
      <c r="F19" s="26">
        <v>318</v>
      </c>
      <c r="G19" s="25" t="s">
        <v>142</v>
      </c>
      <c r="H19" s="27">
        <v>1000</v>
      </c>
      <c r="I19" s="25" t="s">
        <v>143</v>
      </c>
      <c r="J19" s="25" t="s">
        <v>144</v>
      </c>
      <c r="K19" s="25" t="s">
        <v>160</v>
      </c>
      <c r="L19" s="25" t="s">
        <v>146</v>
      </c>
      <c r="M19" s="27" t="s">
        <v>147</v>
      </c>
      <c r="N19" s="28" t="s">
        <v>160</v>
      </c>
    </row>
    <row r="20" spans="1:14" ht="15" customHeight="1" x14ac:dyDescent="0.3">
      <c r="A20" s="21" t="s">
        <v>137</v>
      </c>
      <c r="B20" s="21" t="s">
        <v>175</v>
      </c>
      <c r="C20" s="21" t="s">
        <v>176</v>
      </c>
      <c r="D20" s="21" t="s">
        <v>140</v>
      </c>
      <c r="E20" s="21" t="s">
        <v>141</v>
      </c>
      <c r="F20" s="22">
        <v>-288</v>
      </c>
      <c r="G20" s="21" t="s">
        <v>142</v>
      </c>
      <c r="H20" s="23">
        <v>1000</v>
      </c>
      <c r="I20" s="21" t="s">
        <v>143</v>
      </c>
      <c r="J20" s="21" t="s">
        <v>144</v>
      </c>
      <c r="K20" s="21" t="s">
        <v>160</v>
      </c>
      <c r="L20" s="21" t="s">
        <v>146</v>
      </c>
      <c r="M20" s="23" t="s">
        <v>147</v>
      </c>
      <c r="N20" s="24" t="s">
        <v>160</v>
      </c>
    </row>
    <row r="21" spans="1:14" ht="15" customHeight="1" x14ac:dyDescent="0.3">
      <c r="A21" s="25" t="s">
        <v>137</v>
      </c>
      <c r="B21" s="25" t="s">
        <v>177</v>
      </c>
      <c r="C21" s="25" t="s">
        <v>178</v>
      </c>
      <c r="D21" s="25" t="s">
        <v>140</v>
      </c>
      <c r="E21" s="25" t="s">
        <v>141</v>
      </c>
      <c r="F21" s="26">
        <v>30</v>
      </c>
      <c r="G21" s="25" t="s">
        <v>142</v>
      </c>
      <c r="H21" s="27">
        <v>1000</v>
      </c>
      <c r="I21" s="25" t="s">
        <v>143</v>
      </c>
      <c r="J21" s="25" t="s">
        <v>144</v>
      </c>
      <c r="K21" s="25" t="s">
        <v>160</v>
      </c>
      <c r="L21" s="25" t="s">
        <v>146</v>
      </c>
      <c r="M21" s="27" t="s">
        <v>147</v>
      </c>
      <c r="N21" s="28" t="s">
        <v>160</v>
      </c>
    </row>
    <row r="22" spans="1:14" ht="15" customHeight="1" x14ac:dyDescent="0.3">
      <c r="A22" s="21" t="s">
        <v>137</v>
      </c>
      <c r="B22" s="21" t="s">
        <v>179</v>
      </c>
      <c r="C22" s="21" t="s">
        <v>180</v>
      </c>
      <c r="D22" s="21" t="s">
        <v>140</v>
      </c>
      <c r="E22" s="21" t="s">
        <v>141</v>
      </c>
      <c r="F22" s="22">
        <v>-59977</v>
      </c>
      <c r="G22" s="21" t="s">
        <v>142</v>
      </c>
      <c r="H22" s="23">
        <v>1000</v>
      </c>
      <c r="I22" s="21" t="s">
        <v>143</v>
      </c>
      <c r="J22" s="21" t="s">
        <v>144</v>
      </c>
      <c r="K22" s="21" t="s">
        <v>160</v>
      </c>
      <c r="L22" s="21" t="s">
        <v>146</v>
      </c>
      <c r="M22" s="23" t="s">
        <v>147</v>
      </c>
      <c r="N22" s="24" t="s">
        <v>160</v>
      </c>
    </row>
    <row r="23" spans="1:14" ht="15" customHeight="1" x14ac:dyDescent="0.3">
      <c r="A23" s="25" t="s">
        <v>137</v>
      </c>
      <c r="B23" s="25" t="s">
        <v>181</v>
      </c>
      <c r="C23" s="25" t="s">
        <v>182</v>
      </c>
      <c r="D23" s="25" t="s">
        <v>140</v>
      </c>
      <c r="E23" s="25" t="s">
        <v>141</v>
      </c>
      <c r="F23" s="26">
        <v>19</v>
      </c>
      <c r="G23" s="25" t="s">
        <v>142</v>
      </c>
      <c r="H23" s="27">
        <v>1000</v>
      </c>
      <c r="I23" s="25" t="s">
        <v>143</v>
      </c>
      <c r="J23" s="25" t="s">
        <v>144</v>
      </c>
      <c r="K23" s="25" t="s">
        <v>160</v>
      </c>
      <c r="L23" s="25" t="s">
        <v>146</v>
      </c>
      <c r="M23" s="27" t="s">
        <v>147</v>
      </c>
      <c r="N23" s="28" t="s">
        <v>160</v>
      </c>
    </row>
    <row r="24" spans="1:14" ht="15" customHeight="1" x14ac:dyDescent="0.3">
      <c r="A24" s="21" t="s">
        <v>137</v>
      </c>
      <c r="B24" s="21" t="s">
        <v>183</v>
      </c>
      <c r="C24" s="21" t="s">
        <v>184</v>
      </c>
      <c r="D24" s="21" t="s">
        <v>140</v>
      </c>
      <c r="E24" s="21" t="s">
        <v>141</v>
      </c>
      <c r="F24" s="22">
        <v>-59958</v>
      </c>
      <c r="G24" s="21" t="s">
        <v>142</v>
      </c>
      <c r="H24" s="23">
        <v>1000</v>
      </c>
      <c r="I24" s="21" t="s">
        <v>143</v>
      </c>
      <c r="J24" s="21" t="s">
        <v>144</v>
      </c>
      <c r="K24" s="21" t="s">
        <v>160</v>
      </c>
      <c r="L24" s="21" t="s">
        <v>146</v>
      </c>
      <c r="M24" s="23" t="s">
        <v>147</v>
      </c>
      <c r="N24" s="24" t="s">
        <v>160</v>
      </c>
    </row>
    <row r="25" spans="1:14" ht="15" customHeight="1" x14ac:dyDescent="0.3">
      <c r="A25" s="25" t="s">
        <v>137</v>
      </c>
      <c r="B25" s="25" t="s">
        <v>185</v>
      </c>
      <c r="C25" s="25" t="s">
        <v>186</v>
      </c>
      <c r="D25" s="25" t="s">
        <v>140</v>
      </c>
      <c r="E25" s="25" t="s">
        <v>141</v>
      </c>
      <c r="F25" s="26">
        <v>177</v>
      </c>
      <c r="G25" s="25" t="s">
        <v>142</v>
      </c>
      <c r="H25" s="27">
        <v>1000</v>
      </c>
      <c r="I25" s="25" t="s">
        <v>143</v>
      </c>
      <c r="J25" s="25" t="s">
        <v>144</v>
      </c>
      <c r="K25" s="25" t="s">
        <v>160</v>
      </c>
      <c r="L25" s="25" t="s">
        <v>146</v>
      </c>
      <c r="M25" s="27" t="s">
        <v>147</v>
      </c>
      <c r="N25" s="28" t="s">
        <v>160</v>
      </c>
    </row>
    <row r="26" spans="1:14" ht="15" customHeight="1" x14ac:dyDescent="0.3">
      <c r="A26" s="21" t="s">
        <v>137</v>
      </c>
      <c r="B26" s="21" t="s">
        <v>187</v>
      </c>
      <c r="C26" s="21" t="s">
        <v>188</v>
      </c>
      <c r="D26" s="21" t="s">
        <v>140</v>
      </c>
      <c r="E26" s="21" t="s">
        <v>141</v>
      </c>
      <c r="F26" s="22">
        <v>-60135</v>
      </c>
      <c r="G26" s="21" t="s">
        <v>142</v>
      </c>
      <c r="H26" s="23">
        <v>1000</v>
      </c>
      <c r="I26" s="21" t="s">
        <v>143</v>
      </c>
      <c r="J26" s="21" t="s">
        <v>144</v>
      </c>
      <c r="K26" s="21" t="s">
        <v>160</v>
      </c>
      <c r="L26" s="21" t="s">
        <v>146</v>
      </c>
      <c r="M26" s="23" t="s">
        <v>147</v>
      </c>
      <c r="N26" s="24" t="s">
        <v>160</v>
      </c>
    </row>
    <row r="27" spans="1:14" ht="15" customHeight="1" x14ac:dyDescent="0.3">
      <c r="A27" s="25" t="s">
        <v>137</v>
      </c>
      <c r="B27" s="25" t="s">
        <v>138</v>
      </c>
      <c r="C27" s="25" t="s">
        <v>139</v>
      </c>
      <c r="D27" s="25" t="s">
        <v>189</v>
      </c>
      <c r="E27" s="25" t="s">
        <v>141</v>
      </c>
      <c r="F27" s="26">
        <v>273507</v>
      </c>
      <c r="G27" s="25" t="s">
        <v>142</v>
      </c>
      <c r="H27" s="27">
        <v>1000</v>
      </c>
      <c r="I27" s="25" t="s">
        <v>143</v>
      </c>
      <c r="J27" s="25" t="s">
        <v>190</v>
      </c>
      <c r="K27" s="25" t="s">
        <v>145</v>
      </c>
      <c r="L27" s="25" t="s">
        <v>146</v>
      </c>
      <c r="M27" s="27" t="s">
        <v>147</v>
      </c>
      <c r="N27" s="28" t="s">
        <v>145</v>
      </c>
    </row>
    <row r="28" spans="1:14" ht="15" customHeight="1" x14ac:dyDescent="0.3">
      <c r="A28" s="21" t="s">
        <v>137</v>
      </c>
      <c r="B28" s="21" t="s">
        <v>148</v>
      </c>
      <c r="C28" s="21" t="s">
        <v>149</v>
      </c>
      <c r="D28" s="21" t="s">
        <v>189</v>
      </c>
      <c r="E28" s="21" t="s">
        <v>141</v>
      </c>
      <c r="F28" s="22">
        <v>44731</v>
      </c>
      <c r="G28" s="21" t="s">
        <v>142</v>
      </c>
      <c r="H28" s="23">
        <v>1000</v>
      </c>
      <c r="I28" s="21" t="s">
        <v>143</v>
      </c>
      <c r="J28" s="21" t="s">
        <v>190</v>
      </c>
      <c r="K28" s="21" t="s">
        <v>145</v>
      </c>
      <c r="L28" s="21" t="s">
        <v>146</v>
      </c>
      <c r="M28" s="23" t="s">
        <v>147</v>
      </c>
      <c r="N28" s="24" t="s">
        <v>145</v>
      </c>
    </row>
    <row r="29" spans="1:14" ht="15" customHeight="1" x14ac:dyDescent="0.3">
      <c r="A29" s="25" t="s">
        <v>137</v>
      </c>
      <c r="B29" s="25" t="s">
        <v>150</v>
      </c>
      <c r="C29" s="25" t="s">
        <v>151</v>
      </c>
      <c r="D29" s="25" t="s">
        <v>189</v>
      </c>
      <c r="E29" s="25" t="s">
        <v>141</v>
      </c>
      <c r="F29" s="26">
        <v>32718</v>
      </c>
      <c r="G29" s="25" t="s">
        <v>142</v>
      </c>
      <c r="H29" s="27">
        <v>1000</v>
      </c>
      <c r="I29" s="25" t="s">
        <v>143</v>
      </c>
      <c r="J29" s="25" t="s">
        <v>190</v>
      </c>
      <c r="K29" s="25" t="s">
        <v>145</v>
      </c>
      <c r="L29" s="25" t="s">
        <v>146</v>
      </c>
      <c r="M29" s="27" t="s">
        <v>147</v>
      </c>
      <c r="N29" s="28" t="s">
        <v>145</v>
      </c>
    </row>
    <row r="30" spans="1:14" ht="15" customHeight="1" x14ac:dyDescent="0.3">
      <c r="A30" s="21" t="s">
        <v>137</v>
      </c>
      <c r="B30" s="21" t="s">
        <v>152</v>
      </c>
      <c r="C30" s="21" t="s">
        <v>153</v>
      </c>
      <c r="D30" s="21" t="s">
        <v>189</v>
      </c>
      <c r="E30" s="21" t="s">
        <v>141</v>
      </c>
      <c r="F30" s="22">
        <v>17914</v>
      </c>
      <c r="G30" s="21" t="s">
        <v>142</v>
      </c>
      <c r="H30" s="23">
        <v>1000</v>
      </c>
      <c r="I30" s="21" t="s">
        <v>143</v>
      </c>
      <c r="J30" s="21" t="s">
        <v>190</v>
      </c>
      <c r="K30" s="21" t="s">
        <v>145</v>
      </c>
      <c r="L30" s="21" t="s">
        <v>146</v>
      </c>
      <c r="M30" s="23" t="s">
        <v>147</v>
      </c>
      <c r="N30" s="24" t="s">
        <v>145</v>
      </c>
    </row>
    <row r="31" spans="1:14" ht="15" customHeight="1" x14ac:dyDescent="0.3">
      <c r="A31" s="25" t="s">
        <v>137</v>
      </c>
      <c r="B31" s="25" t="s">
        <v>154</v>
      </c>
      <c r="C31" s="25" t="s">
        <v>155</v>
      </c>
      <c r="D31" s="25" t="s">
        <v>189</v>
      </c>
      <c r="E31" s="25" t="s">
        <v>141</v>
      </c>
      <c r="F31" s="26">
        <v>625</v>
      </c>
      <c r="G31" s="25" t="s">
        <v>142</v>
      </c>
      <c r="H31" s="27">
        <v>1000</v>
      </c>
      <c r="I31" s="25" t="s">
        <v>143</v>
      </c>
      <c r="J31" s="25" t="s">
        <v>190</v>
      </c>
      <c r="K31" s="25" t="s">
        <v>145</v>
      </c>
      <c r="L31" s="25" t="s">
        <v>146</v>
      </c>
      <c r="M31" s="27" t="s">
        <v>147</v>
      </c>
      <c r="N31" s="28" t="s">
        <v>145</v>
      </c>
    </row>
    <row r="32" spans="1:14" ht="15" customHeight="1" x14ac:dyDescent="0.3">
      <c r="A32" s="21" t="s">
        <v>137</v>
      </c>
      <c r="B32" s="21" t="s">
        <v>156</v>
      </c>
      <c r="C32" s="21" t="s">
        <v>157</v>
      </c>
      <c r="D32" s="21" t="s">
        <v>189</v>
      </c>
      <c r="E32" s="21" t="s">
        <v>141</v>
      </c>
      <c r="F32" s="22">
        <v>369495</v>
      </c>
      <c r="G32" s="21" t="s">
        <v>142</v>
      </c>
      <c r="H32" s="23">
        <v>1000</v>
      </c>
      <c r="I32" s="21" t="s">
        <v>143</v>
      </c>
      <c r="J32" s="21" t="s">
        <v>190</v>
      </c>
      <c r="K32" s="21" t="s">
        <v>145</v>
      </c>
      <c r="L32" s="21" t="s">
        <v>146</v>
      </c>
      <c r="M32" s="23" t="s">
        <v>147</v>
      </c>
      <c r="N32" s="24" t="s">
        <v>145</v>
      </c>
    </row>
    <row r="33" spans="1:14" ht="15" customHeight="1" x14ac:dyDescent="0.3">
      <c r="A33" s="25" t="s">
        <v>137</v>
      </c>
      <c r="B33" s="25" t="s">
        <v>158</v>
      </c>
      <c r="C33" s="25" t="s">
        <v>159</v>
      </c>
      <c r="D33" s="25" t="s">
        <v>189</v>
      </c>
      <c r="E33" s="25" t="s">
        <v>141</v>
      </c>
      <c r="F33" s="26">
        <v>99431</v>
      </c>
      <c r="G33" s="25" t="s">
        <v>142</v>
      </c>
      <c r="H33" s="27">
        <v>1000</v>
      </c>
      <c r="I33" s="25" t="s">
        <v>143</v>
      </c>
      <c r="J33" s="25" t="s">
        <v>190</v>
      </c>
      <c r="K33" s="25" t="s">
        <v>160</v>
      </c>
      <c r="L33" s="25" t="s">
        <v>146</v>
      </c>
      <c r="M33" s="27" t="s">
        <v>147</v>
      </c>
      <c r="N33" s="28" t="s">
        <v>160</v>
      </c>
    </row>
    <row r="34" spans="1:14" ht="15" customHeight="1" x14ac:dyDescent="0.3">
      <c r="A34" s="21" t="s">
        <v>137</v>
      </c>
      <c r="B34" s="21" t="s">
        <v>161</v>
      </c>
      <c r="C34" s="21" t="s">
        <v>162</v>
      </c>
      <c r="D34" s="21" t="s">
        <v>189</v>
      </c>
      <c r="E34" s="21" t="s">
        <v>141</v>
      </c>
      <c r="F34" s="22">
        <v>270064</v>
      </c>
      <c r="G34" s="21" t="s">
        <v>142</v>
      </c>
      <c r="H34" s="23">
        <v>1000</v>
      </c>
      <c r="I34" s="21" t="s">
        <v>143</v>
      </c>
      <c r="J34" s="21" t="s">
        <v>190</v>
      </c>
      <c r="K34" s="21" t="s">
        <v>160</v>
      </c>
      <c r="L34" s="21" t="s">
        <v>146</v>
      </c>
      <c r="M34" s="23" t="s">
        <v>147</v>
      </c>
      <c r="N34" s="24" t="s">
        <v>160</v>
      </c>
    </row>
    <row r="35" spans="1:14" ht="15" customHeight="1" x14ac:dyDescent="0.3">
      <c r="A35" s="25" t="s">
        <v>137</v>
      </c>
      <c r="B35" s="25" t="s">
        <v>163</v>
      </c>
      <c r="C35" s="25" t="s">
        <v>164</v>
      </c>
      <c r="D35" s="25" t="s">
        <v>189</v>
      </c>
      <c r="E35" s="25" t="s">
        <v>141</v>
      </c>
      <c r="F35" s="26">
        <v>150444</v>
      </c>
      <c r="G35" s="25" t="s">
        <v>142</v>
      </c>
      <c r="H35" s="27">
        <v>1000</v>
      </c>
      <c r="I35" s="25" t="s">
        <v>143</v>
      </c>
      <c r="J35" s="25" t="s">
        <v>190</v>
      </c>
      <c r="K35" s="25" t="s">
        <v>160</v>
      </c>
      <c r="L35" s="25" t="s">
        <v>146</v>
      </c>
      <c r="M35" s="27" t="s">
        <v>147</v>
      </c>
      <c r="N35" s="28" t="s">
        <v>160</v>
      </c>
    </row>
    <row r="36" spans="1:14" ht="15" customHeight="1" x14ac:dyDescent="0.3">
      <c r="A36" s="21" t="s">
        <v>137</v>
      </c>
      <c r="B36" s="21" t="s">
        <v>165</v>
      </c>
      <c r="C36" s="21" t="s">
        <v>166</v>
      </c>
      <c r="D36" s="21" t="s">
        <v>189</v>
      </c>
      <c r="E36" s="21" t="s">
        <v>141</v>
      </c>
      <c r="F36" s="22">
        <v>66967</v>
      </c>
      <c r="G36" s="21" t="s">
        <v>142</v>
      </c>
      <c r="H36" s="23">
        <v>1000</v>
      </c>
      <c r="I36" s="21" t="s">
        <v>143</v>
      </c>
      <c r="J36" s="21" t="s">
        <v>190</v>
      </c>
      <c r="K36" s="21" t="s">
        <v>160</v>
      </c>
      <c r="L36" s="21" t="s">
        <v>146</v>
      </c>
      <c r="M36" s="23" t="s">
        <v>147</v>
      </c>
      <c r="N36" s="24" t="s">
        <v>160</v>
      </c>
    </row>
    <row r="37" spans="1:14" ht="15" customHeight="1" x14ac:dyDescent="0.3">
      <c r="A37" s="25" t="s">
        <v>137</v>
      </c>
      <c r="B37" s="25" t="s">
        <v>167</v>
      </c>
      <c r="C37" s="25" t="s">
        <v>168</v>
      </c>
      <c r="D37" s="25" t="s">
        <v>189</v>
      </c>
      <c r="E37" s="25" t="s">
        <v>141</v>
      </c>
      <c r="F37" s="26">
        <v>117848</v>
      </c>
      <c r="G37" s="25" t="s">
        <v>142</v>
      </c>
      <c r="H37" s="27">
        <v>1000</v>
      </c>
      <c r="I37" s="25" t="s">
        <v>143</v>
      </c>
      <c r="J37" s="25" t="s">
        <v>190</v>
      </c>
      <c r="K37" s="25" t="s">
        <v>160</v>
      </c>
      <c r="L37" s="25" t="s">
        <v>146</v>
      </c>
      <c r="M37" s="27" t="s">
        <v>147</v>
      </c>
      <c r="N37" s="28" t="s">
        <v>160</v>
      </c>
    </row>
    <row r="38" spans="1:14" ht="15" customHeight="1" x14ac:dyDescent="0.3">
      <c r="A38" s="21" t="s">
        <v>137</v>
      </c>
      <c r="B38" s="21" t="s">
        <v>169</v>
      </c>
      <c r="C38" s="21" t="s">
        <v>170</v>
      </c>
      <c r="D38" s="21" t="s">
        <v>189</v>
      </c>
      <c r="E38" s="21" t="s">
        <v>141</v>
      </c>
      <c r="F38" s="22">
        <v>335259</v>
      </c>
      <c r="G38" s="21" t="s">
        <v>142</v>
      </c>
      <c r="H38" s="23">
        <v>1000</v>
      </c>
      <c r="I38" s="21" t="s">
        <v>143</v>
      </c>
      <c r="J38" s="21" t="s">
        <v>190</v>
      </c>
      <c r="K38" s="21" t="s">
        <v>160</v>
      </c>
      <c r="L38" s="21" t="s">
        <v>146</v>
      </c>
      <c r="M38" s="23" t="s">
        <v>147</v>
      </c>
      <c r="N38" s="24" t="s">
        <v>160</v>
      </c>
    </row>
    <row r="39" spans="1:14" ht="15" customHeight="1" x14ac:dyDescent="0.3">
      <c r="A39" s="25" t="s">
        <v>137</v>
      </c>
      <c r="B39" s="25" t="s">
        <v>171</v>
      </c>
      <c r="C39" s="25" t="s">
        <v>172</v>
      </c>
      <c r="D39" s="25" t="s">
        <v>189</v>
      </c>
      <c r="E39" s="25" t="s">
        <v>141</v>
      </c>
      <c r="F39" s="26">
        <v>-65195</v>
      </c>
      <c r="G39" s="25" t="s">
        <v>142</v>
      </c>
      <c r="H39" s="27">
        <v>1000</v>
      </c>
      <c r="I39" s="25" t="s">
        <v>143</v>
      </c>
      <c r="J39" s="25" t="s">
        <v>190</v>
      </c>
      <c r="K39" s="25" t="s">
        <v>160</v>
      </c>
      <c r="L39" s="25" t="s">
        <v>146</v>
      </c>
      <c r="M39" s="27" t="s">
        <v>147</v>
      </c>
      <c r="N39" s="28" t="s">
        <v>160</v>
      </c>
    </row>
    <row r="40" spans="1:14" ht="15" customHeight="1" x14ac:dyDescent="0.3">
      <c r="A40" s="21" t="s">
        <v>137</v>
      </c>
      <c r="B40" s="21" t="s">
        <v>173</v>
      </c>
      <c r="C40" s="21" t="s">
        <v>174</v>
      </c>
      <c r="D40" s="21" t="s">
        <v>189</v>
      </c>
      <c r="E40" s="21" t="s">
        <v>141</v>
      </c>
      <c r="F40" s="22">
        <v>131</v>
      </c>
      <c r="G40" s="21" t="s">
        <v>142</v>
      </c>
      <c r="H40" s="23">
        <v>1000</v>
      </c>
      <c r="I40" s="21" t="s">
        <v>143</v>
      </c>
      <c r="J40" s="21" t="s">
        <v>190</v>
      </c>
      <c r="K40" s="21" t="s">
        <v>160</v>
      </c>
      <c r="L40" s="21" t="s">
        <v>146</v>
      </c>
      <c r="M40" s="23" t="s">
        <v>147</v>
      </c>
      <c r="N40" s="24" t="s">
        <v>160</v>
      </c>
    </row>
    <row r="41" spans="1:14" ht="15" customHeight="1" x14ac:dyDescent="0.3">
      <c r="A41" s="25" t="s">
        <v>137</v>
      </c>
      <c r="B41" s="25" t="s">
        <v>175</v>
      </c>
      <c r="C41" s="25" t="s">
        <v>176</v>
      </c>
      <c r="D41" s="25" t="s">
        <v>189</v>
      </c>
      <c r="E41" s="25" t="s">
        <v>141</v>
      </c>
      <c r="F41" s="26">
        <v>-807</v>
      </c>
      <c r="G41" s="25" t="s">
        <v>142</v>
      </c>
      <c r="H41" s="27">
        <v>1000</v>
      </c>
      <c r="I41" s="25" t="s">
        <v>143</v>
      </c>
      <c r="J41" s="25" t="s">
        <v>190</v>
      </c>
      <c r="K41" s="25" t="s">
        <v>160</v>
      </c>
      <c r="L41" s="25" t="s">
        <v>146</v>
      </c>
      <c r="M41" s="27" t="s">
        <v>147</v>
      </c>
      <c r="N41" s="28" t="s">
        <v>160</v>
      </c>
    </row>
    <row r="42" spans="1:14" ht="15" customHeight="1" x14ac:dyDescent="0.3">
      <c r="A42" s="21" t="s">
        <v>137</v>
      </c>
      <c r="B42" s="21" t="s">
        <v>177</v>
      </c>
      <c r="C42" s="21" t="s">
        <v>178</v>
      </c>
      <c r="D42" s="21" t="s">
        <v>189</v>
      </c>
      <c r="E42" s="21" t="s">
        <v>141</v>
      </c>
      <c r="F42" s="22">
        <v>-676</v>
      </c>
      <c r="G42" s="21" t="s">
        <v>142</v>
      </c>
      <c r="H42" s="23">
        <v>1000</v>
      </c>
      <c r="I42" s="21" t="s">
        <v>143</v>
      </c>
      <c r="J42" s="21" t="s">
        <v>190</v>
      </c>
      <c r="K42" s="21" t="s">
        <v>160</v>
      </c>
      <c r="L42" s="21" t="s">
        <v>146</v>
      </c>
      <c r="M42" s="23" t="s">
        <v>147</v>
      </c>
      <c r="N42" s="24" t="s">
        <v>160</v>
      </c>
    </row>
    <row r="43" spans="1:14" ht="15" customHeight="1" x14ac:dyDescent="0.3">
      <c r="A43" s="25" t="s">
        <v>137</v>
      </c>
      <c r="B43" s="25" t="s">
        <v>179</v>
      </c>
      <c r="C43" s="25" t="s">
        <v>180</v>
      </c>
      <c r="D43" s="25" t="s">
        <v>189</v>
      </c>
      <c r="E43" s="25" t="s">
        <v>141</v>
      </c>
      <c r="F43" s="26">
        <v>-65871</v>
      </c>
      <c r="G43" s="25" t="s">
        <v>142</v>
      </c>
      <c r="H43" s="27">
        <v>1000</v>
      </c>
      <c r="I43" s="25" t="s">
        <v>143</v>
      </c>
      <c r="J43" s="25" t="s">
        <v>190</v>
      </c>
      <c r="K43" s="25" t="s">
        <v>160</v>
      </c>
      <c r="L43" s="25" t="s">
        <v>146</v>
      </c>
      <c r="M43" s="27" t="s">
        <v>147</v>
      </c>
      <c r="N43" s="28" t="s">
        <v>160</v>
      </c>
    </row>
    <row r="44" spans="1:14" ht="15" customHeight="1" x14ac:dyDescent="0.3">
      <c r="A44" s="21" t="s">
        <v>137</v>
      </c>
      <c r="B44" s="21" t="s">
        <v>181</v>
      </c>
      <c r="C44" s="21" t="s">
        <v>182</v>
      </c>
      <c r="D44" s="21" t="s">
        <v>189</v>
      </c>
      <c r="E44" s="21" t="s">
        <v>141</v>
      </c>
      <c r="F44" s="22">
        <v>7235</v>
      </c>
      <c r="G44" s="21" t="s">
        <v>142</v>
      </c>
      <c r="H44" s="23">
        <v>1000</v>
      </c>
      <c r="I44" s="21" t="s">
        <v>143</v>
      </c>
      <c r="J44" s="21" t="s">
        <v>190</v>
      </c>
      <c r="K44" s="21" t="s">
        <v>160</v>
      </c>
      <c r="L44" s="21" t="s">
        <v>146</v>
      </c>
      <c r="M44" s="23" t="s">
        <v>147</v>
      </c>
      <c r="N44" s="24" t="s">
        <v>160</v>
      </c>
    </row>
    <row r="45" spans="1:14" ht="15" customHeight="1" x14ac:dyDescent="0.3">
      <c r="A45" s="25" t="s">
        <v>137</v>
      </c>
      <c r="B45" s="25" t="s">
        <v>183</v>
      </c>
      <c r="C45" s="25" t="s">
        <v>184</v>
      </c>
      <c r="D45" s="25" t="s">
        <v>189</v>
      </c>
      <c r="E45" s="25" t="s">
        <v>141</v>
      </c>
      <c r="F45" s="26">
        <v>-58636</v>
      </c>
      <c r="G45" s="25" t="s">
        <v>142</v>
      </c>
      <c r="H45" s="27">
        <v>1000</v>
      </c>
      <c r="I45" s="25" t="s">
        <v>143</v>
      </c>
      <c r="J45" s="25" t="s">
        <v>190</v>
      </c>
      <c r="K45" s="25" t="s">
        <v>160</v>
      </c>
      <c r="L45" s="25" t="s">
        <v>146</v>
      </c>
      <c r="M45" s="27" t="s">
        <v>147</v>
      </c>
      <c r="N45" s="28" t="s">
        <v>160</v>
      </c>
    </row>
    <row r="46" spans="1:14" ht="15" customHeight="1" x14ac:dyDescent="0.3">
      <c r="A46" s="21" t="s">
        <v>137</v>
      </c>
      <c r="B46" s="21" t="s">
        <v>185</v>
      </c>
      <c r="C46" s="21" t="s">
        <v>186</v>
      </c>
      <c r="D46" s="21" t="s">
        <v>189</v>
      </c>
      <c r="E46" s="21" t="s">
        <v>141</v>
      </c>
      <c r="F46" s="22">
        <v>938</v>
      </c>
      <c r="G46" s="21" t="s">
        <v>142</v>
      </c>
      <c r="H46" s="23">
        <v>1000</v>
      </c>
      <c r="I46" s="21" t="s">
        <v>143</v>
      </c>
      <c r="J46" s="21" t="s">
        <v>190</v>
      </c>
      <c r="K46" s="21" t="s">
        <v>160</v>
      </c>
      <c r="L46" s="21" t="s">
        <v>146</v>
      </c>
      <c r="M46" s="23" t="s">
        <v>147</v>
      </c>
      <c r="N46" s="24" t="s">
        <v>160</v>
      </c>
    </row>
    <row r="47" spans="1:14" ht="15" customHeight="1" x14ac:dyDescent="0.3">
      <c r="A47" s="25" t="s">
        <v>137</v>
      </c>
      <c r="B47" s="25" t="s">
        <v>187</v>
      </c>
      <c r="C47" s="25" t="s">
        <v>188</v>
      </c>
      <c r="D47" s="25" t="s">
        <v>189</v>
      </c>
      <c r="E47" s="25" t="s">
        <v>141</v>
      </c>
      <c r="F47" s="26">
        <v>-59574</v>
      </c>
      <c r="G47" s="25" t="s">
        <v>142</v>
      </c>
      <c r="H47" s="27">
        <v>1000</v>
      </c>
      <c r="I47" s="25" t="s">
        <v>143</v>
      </c>
      <c r="J47" s="25" t="s">
        <v>190</v>
      </c>
      <c r="K47" s="25" t="s">
        <v>160</v>
      </c>
      <c r="L47" s="25" t="s">
        <v>146</v>
      </c>
      <c r="M47" s="27" t="s">
        <v>147</v>
      </c>
      <c r="N47" s="28" t="s">
        <v>160</v>
      </c>
    </row>
    <row r="48" spans="1:14" ht="15" customHeight="1" x14ac:dyDescent="0.3">
      <c r="A48" s="21" t="s">
        <v>137</v>
      </c>
      <c r="B48" s="21" t="s">
        <v>138</v>
      </c>
      <c r="C48" s="21" t="s">
        <v>139</v>
      </c>
      <c r="D48" s="21" t="s">
        <v>191</v>
      </c>
      <c r="E48" s="21" t="s">
        <v>141</v>
      </c>
      <c r="F48" s="22">
        <v>404684</v>
      </c>
      <c r="G48" s="21" t="s">
        <v>142</v>
      </c>
      <c r="H48" s="23">
        <v>1000</v>
      </c>
      <c r="I48" s="21" t="s">
        <v>143</v>
      </c>
      <c r="J48" s="21" t="s">
        <v>192</v>
      </c>
      <c r="K48" s="21" t="s">
        <v>145</v>
      </c>
      <c r="L48" s="21" t="s">
        <v>193</v>
      </c>
      <c r="M48" s="23" t="s">
        <v>147</v>
      </c>
      <c r="N48" s="24" t="s">
        <v>145</v>
      </c>
    </row>
    <row r="49" spans="1:14" ht="15" customHeight="1" x14ac:dyDescent="0.3">
      <c r="A49" s="25" t="s">
        <v>137</v>
      </c>
      <c r="B49" s="25" t="s">
        <v>148</v>
      </c>
      <c r="C49" s="25" t="s">
        <v>149</v>
      </c>
      <c r="D49" s="25" t="s">
        <v>191</v>
      </c>
      <c r="E49" s="25" t="s">
        <v>141</v>
      </c>
      <c r="F49" s="26">
        <v>49858</v>
      </c>
      <c r="G49" s="25" t="s">
        <v>142</v>
      </c>
      <c r="H49" s="27">
        <v>1000</v>
      </c>
      <c r="I49" s="25" t="s">
        <v>143</v>
      </c>
      <c r="J49" s="25" t="s">
        <v>192</v>
      </c>
      <c r="K49" s="25" t="s">
        <v>145</v>
      </c>
      <c r="L49" s="25" t="s">
        <v>193</v>
      </c>
      <c r="M49" s="27" t="s">
        <v>147</v>
      </c>
      <c r="N49" s="28" t="s">
        <v>145</v>
      </c>
    </row>
    <row r="50" spans="1:14" ht="15" customHeight="1" x14ac:dyDescent="0.3">
      <c r="A50" s="21" t="s">
        <v>137</v>
      </c>
      <c r="B50" s="21" t="s">
        <v>150</v>
      </c>
      <c r="C50" s="21" t="s">
        <v>151</v>
      </c>
      <c r="D50" s="21" t="s">
        <v>191</v>
      </c>
      <c r="E50" s="21" t="s">
        <v>141</v>
      </c>
      <c r="F50" s="22">
        <v>41212</v>
      </c>
      <c r="G50" s="21" t="s">
        <v>142</v>
      </c>
      <c r="H50" s="23">
        <v>1000</v>
      </c>
      <c r="I50" s="21" t="s">
        <v>143</v>
      </c>
      <c r="J50" s="21" t="s">
        <v>192</v>
      </c>
      <c r="K50" s="21" t="s">
        <v>145</v>
      </c>
      <c r="L50" s="21" t="s">
        <v>193</v>
      </c>
      <c r="M50" s="23" t="s">
        <v>147</v>
      </c>
      <c r="N50" s="24" t="s">
        <v>145</v>
      </c>
    </row>
    <row r="51" spans="1:14" ht="15" customHeight="1" x14ac:dyDescent="0.3">
      <c r="A51" s="25" t="s">
        <v>137</v>
      </c>
      <c r="B51" s="25" t="s">
        <v>152</v>
      </c>
      <c r="C51" s="25" t="s">
        <v>153</v>
      </c>
      <c r="D51" s="25" t="s">
        <v>191</v>
      </c>
      <c r="E51" s="25" t="s">
        <v>141</v>
      </c>
      <c r="F51" s="26">
        <v>34673</v>
      </c>
      <c r="G51" s="25" t="s">
        <v>142</v>
      </c>
      <c r="H51" s="27">
        <v>1000</v>
      </c>
      <c r="I51" s="25" t="s">
        <v>143</v>
      </c>
      <c r="J51" s="25" t="s">
        <v>192</v>
      </c>
      <c r="K51" s="25" t="s">
        <v>145</v>
      </c>
      <c r="L51" s="25" t="s">
        <v>193</v>
      </c>
      <c r="M51" s="27" t="s">
        <v>147</v>
      </c>
      <c r="N51" s="28" t="s">
        <v>145</v>
      </c>
    </row>
    <row r="52" spans="1:14" ht="15" customHeight="1" x14ac:dyDescent="0.3">
      <c r="A52" s="21" t="s">
        <v>137</v>
      </c>
      <c r="B52" s="21" t="s">
        <v>154</v>
      </c>
      <c r="C52" s="21" t="s">
        <v>155</v>
      </c>
      <c r="D52" s="21" t="s">
        <v>191</v>
      </c>
      <c r="E52" s="21" t="s">
        <v>141</v>
      </c>
      <c r="F52" s="22">
        <v>682</v>
      </c>
      <c r="G52" s="21" t="s">
        <v>142</v>
      </c>
      <c r="H52" s="23">
        <v>1000</v>
      </c>
      <c r="I52" s="21" t="s">
        <v>143</v>
      </c>
      <c r="J52" s="21" t="s">
        <v>192</v>
      </c>
      <c r="K52" s="21" t="s">
        <v>145</v>
      </c>
      <c r="L52" s="21" t="s">
        <v>193</v>
      </c>
      <c r="M52" s="23" t="s">
        <v>147</v>
      </c>
      <c r="N52" s="24" t="s">
        <v>145</v>
      </c>
    </row>
    <row r="53" spans="1:14" ht="15" customHeight="1" x14ac:dyDescent="0.3">
      <c r="A53" s="25" t="s">
        <v>137</v>
      </c>
      <c r="B53" s="25" t="s">
        <v>156</v>
      </c>
      <c r="C53" s="25" t="s">
        <v>157</v>
      </c>
      <c r="D53" s="25" t="s">
        <v>191</v>
      </c>
      <c r="E53" s="25" t="s">
        <v>141</v>
      </c>
      <c r="F53" s="26">
        <v>531109</v>
      </c>
      <c r="G53" s="25" t="s">
        <v>142</v>
      </c>
      <c r="H53" s="27">
        <v>1000</v>
      </c>
      <c r="I53" s="25" t="s">
        <v>143</v>
      </c>
      <c r="J53" s="25" t="s">
        <v>192</v>
      </c>
      <c r="K53" s="25" t="s">
        <v>145</v>
      </c>
      <c r="L53" s="25" t="s">
        <v>193</v>
      </c>
      <c r="M53" s="27" t="s">
        <v>147</v>
      </c>
      <c r="N53" s="28" t="s">
        <v>145</v>
      </c>
    </row>
    <row r="54" spans="1:14" ht="15" customHeight="1" x14ac:dyDescent="0.3">
      <c r="A54" s="21" t="s">
        <v>137</v>
      </c>
      <c r="B54" s="21" t="s">
        <v>158</v>
      </c>
      <c r="C54" s="21" t="s">
        <v>159</v>
      </c>
      <c r="D54" s="21" t="s">
        <v>191</v>
      </c>
      <c r="E54" s="21" t="s">
        <v>141</v>
      </c>
      <c r="F54" s="22">
        <v>142105</v>
      </c>
      <c r="G54" s="21" t="s">
        <v>142</v>
      </c>
      <c r="H54" s="23">
        <v>1000</v>
      </c>
      <c r="I54" s="21" t="s">
        <v>143</v>
      </c>
      <c r="J54" s="21" t="s">
        <v>192</v>
      </c>
      <c r="K54" s="21" t="s">
        <v>194</v>
      </c>
      <c r="L54" s="21" t="s">
        <v>193</v>
      </c>
      <c r="M54" s="23" t="s">
        <v>147</v>
      </c>
      <c r="N54" s="24" t="s">
        <v>194</v>
      </c>
    </row>
    <row r="55" spans="1:14" ht="15" customHeight="1" x14ac:dyDescent="0.3">
      <c r="A55" s="25" t="s">
        <v>137</v>
      </c>
      <c r="B55" s="25" t="s">
        <v>161</v>
      </c>
      <c r="C55" s="25" t="s">
        <v>162</v>
      </c>
      <c r="D55" s="25" t="s">
        <v>191</v>
      </c>
      <c r="E55" s="25" t="s">
        <v>141</v>
      </c>
      <c r="F55" s="26">
        <v>389004</v>
      </c>
      <c r="G55" s="25" t="s">
        <v>142</v>
      </c>
      <c r="H55" s="27">
        <v>1000</v>
      </c>
      <c r="I55" s="25" t="s">
        <v>143</v>
      </c>
      <c r="J55" s="25" t="s">
        <v>192</v>
      </c>
      <c r="K55" s="25" t="s">
        <v>194</v>
      </c>
      <c r="L55" s="25" t="s">
        <v>193</v>
      </c>
      <c r="M55" s="27" t="s">
        <v>147</v>
      </c>
      <c r="N55" s="28" t="s">
        <v>194</v>
      </c>
    </row>
    <row r="56" spans="1:14" ht="15" customHeight="1" x14ac:dyDescent="0.3">
      <c r="A56" s="21" t="s">
        <v>137</v>
      </c>
      <c r="B56" s="21" t="s">
        <v>163</v>
      </c>
      <c r="C56" s="21" t="s">
        <v>164</v>
      </c>
      <c r="D56" s="21" t="s">
        <v>191</v>
      </c>
      <c r="E56" s="21" t="s">
        <v>141</v>
      </c>
      <c r="F56" s="22">
        <v>194352</v>
      </c>
      <c r="G56" s="21" t="s">
        <v>142</v>
      </c>
      <c r="H56" s="23">
        <v>1000</v>
      </c>
      <c r="I56" s="21" t="s">
        <v>143</v>
      </c>
      <c r="J56" s="21" t="s">
        <v>192</v>
      </c>
      <c r="K56" s="21" t="s">
        <v>194</v>
      </c>
      <c r="L56" s="21" t="s">
        <v>193</v>
      </c>
      <c r="M56" s="23" t="s">
        <v>147</v>
      </c>
      <c r="N56" s="24" t="s">
        <v>194</v>
      </c>
    </row>
    <row r="57" spans="1:14" ht="15" customHeight="1" x14ac:dyDescent="0.3">
      <c r="A57" s="25" t="s">
        <v>137</v>
      </c>
      <c r="B57" s="25" t="s">
        <v>165</v>
      </c>
      <c r="C57" s="25" t="s">
        <v>166</v>
      </c>
      <c r="D57" s="25" t="s">
        <v>191</v>
      </c>
      <c r="E57" s="25" t="s">
        <v>141</v>
      </c>
      <c r="F57" s="26">
        <v>75788</v>
      </c>
      <c r="G57" s="25" t="s">
        <v>142</v>
      </c>
      <c r="H57" s="27">
        <v>1000</v>
      </c>
      <c r="I57" s="25" t="s">
        <v>143</v>
      </c>
      <c r="J57" s="25" t="s">
        <v>192</v>
      </c>
      <c r="K57" s="25" t="s">
        <v>194</v>
      </c>
      <c r="L57" s="25" t="s">
        <v>193</v>
      </c>
      <c r="M57" s="27" t="s">
        <v>147</v>
      </c>
      <c r="N57" s="28" t="s">
        <v>194</v>
      </c>
    </row>
    <row r="58" spans="1:14" ht="15" customHeight="1" x14ac:dyDescent="0.3">
      <c r="A58" s="21" t="s">
        <v>137</v>
      </c>
      <c r="B58" s="21" t="s">
        <v>167</v>
      </c>
      <c r="C58" s="21" t="s">
        <v>168</v>
      </c>
      <c r="D58" s="21" t="s">
        <v>191</v>
      </c>
      <c r="E58" s="21" t="s">
        <v>141</v>
      </c>
      <c r="F58" s="22">
        <v>132123</v>
      </c>
      <c r="G58" s="21" t="s">
        <v>142</v>
      </c>
      <c r="H58" s="23">
        <v>1000</v>
      </c>
      <c r="I58" s="21" t="s">
        <v>143</v>
      </c>
      <c r="J58" s="21" t="s">
        <v>192</v>
      </c>
      <c r="K58" s="21" t="s">
        <v>194</v>
      </c>
      <c r="L58" s="21" t="s">
        <v>193</v>
      </c>
      <c r="M58" s="23" t="s">
        <v>147</v>
      </c>
      <c r="N58" s="24" t="s">
        <v>194</v>
      </c>
    </row>
    <row r="59" spans="1:14" ht="15" customHeight="1" x14ac:dyDescent="0.3">
      <c r="A59" s="25" t="s">
        <v>137</v>
      </c>
      <c r="B59" s="25" t="s">
        <v>169</v>
      </c>
      <c r="C59" s="25" t="s">
        <v>170</v>
      </c>
      <c r="D59" s="25" t="s">
        <v>191</v>
      </c>
      <c r="E59" s="25" t="s">
        <v>141</v>
      </c>
      <c r="F59" s="26">
        <v>402263</v>
      </c>
      <c r="G59" s="25" t="s">
        <v>142</v>
      </c>
      <c r="H59" s="27">
        <v>1000</v>
      </c>
      <c r="I59" s="25" t="s">
        <v>143</v>
      </c>
      <c r="J59" s="25" t="s">
        <v>192</v>
      </c>
      <c r="K59" s="25" t="s">
        <v>194</v>
      </c>
      <c r="L59" s="25" t="s">
        <v>193</v>
      </c>
      <c r="M59" s="27" t="s">
        <v>147</v>
      </c>
      <c r="N59" s="28" t="s">
        <v>194</v>
      </c>
    </row>
    <row r="60" spans="1:14" ht="15" customHeight="1" x14ac:dyDescent="0.3">
      <c r="A60" s="21" t="s">
        <v>137</v>
      </c>
      <c r="B60" s="21" t="s">
        <v>171</v>
      </c>
      <c r="C60" s="21" t="s">
        <v>172</v>
      </c>
      <c r="D60" s="21" t="s">
        <v>191</v>
      </c>
      <c r="E60" s="21" t="s">
        <v>141</v>
      </c>
      <c r="F60" s="22">
        <v>-13259</v>
      </c>
      <c r="G60" s="21" t="s">
        <v>142</v>
      </c>
      <c r="H60" s="23">
        <v>1000</v>
      </c>
      <c r="I60" s="21" t="s">
        <v>143</v>
      </c>
      <c r="J60" s="21" t="s">
        <v>192</v>
      </c>
      <c r="K60" s="21" t="s">
        <v>194</v>
      </c>
      <c r="L60" s="21" t="s">
        <v>193</v>
      </c>
      <c r="M60" s="23" t="s">
        <v>147</v>
      </c>
      <c r="N60" s="24" t="s">
        <v>194</v>
      </c>
    </row>
    <row r="61" spans="1:14" ht="15" customHeight="1" x14ac:dyDescent="0.3">
      <c r="A61" s="25" t="s">
        <v>137</v>
      </c>
      <c r="B61" s="25" t="s">
        <v>173</v>
      </c>
      <c r="C61" s="25" t="s">
        <v>174</v>
      </c>
      <c r="D61" s="25" t="s">
        <v>191</v>
      </c>
      <c r="E61" s="25" t="s">
        <v>141</v>
      </c>
      <c r="F61" s="26">
        <v>590</v>
      </c>
      <c r="G61" s="25" t="s">
        <v>142</v>
      </c>
      <c r="H61" s="27">
        <v>1000</v>
      </c>
      <c r="I61" s="25" t="s">
        <v>143</v>
      </c>
      <c r="J61" s="25" t="s">
        <v>192</v>
      </c>
      <c r="K61" s="25" t="s">
        <v>194</v>
      </c>
      <c r="L61" s="25" t="s">
        <v>193</v>
      </c>
      <c r="M61" s="27" t="s">
        <v>147</v>
      </c>
      <c r="N61" s="28" t="s">
        <v>194</v>
      </c>
    </row>
    <row r="62" spans="1:14" ht="15" customHeight="1" x14ac:dyDescent="0.3">
      <c r="A62" s="21" t="s">
        <v>137</v>
      </c>
      <c r="B62" s="21" t="s">
        <v>175</v>
      </c>
      <c r="C62" s="21" t="s">
        <v>176</v>
      </c>
      <c r="D62" s="21" t="s">
        <v>191</v>
      </c>
      <c r="E62" s="21" t="s">
        <v>141</v>
      </c>
      <c r="F62" s="22">
        <v>-645</v>
      </c>
      <c r="G62" s="21" t="s">
        <v>142</v>
      </c>
      <c r="H62" s="23">
        <v>1000</v>
      </c>
      <c r="I62" s="21" t="s">
        <v>143</v>
      </c>
      <c r="J62" s="21" t="s">
        <v>192</v>
      </c>
      <c r="K62" s="21" t="s">
        <v>194</v>
      </c>
      <c r="L62" s="21" t="s">
        <v>193</v>
      </c>
      <c r="M62" s="23" t="s">
        <v>147</v>
      </c>
      <c r="N62" s="24" t="s">
        <v>194</v>
      </c>
    </row>
    <row r="63" spans="1:14" ht="15" customHeight="1" x14ac:dyDescent="0.3">
      <c r="A63" s="25" t="s">
        <v>137</v>
      </c>
      <c r="B63" s="25" t="s">
        <v>177</v>
      </c>
      <c r="C63" s="25" t="s">
        <v>178</v>
      </c>
      <c r="D63" s="25" t="s">
        <v>191</v>
      </c>
      <c r="E63" s="25" t="s">
        <v>141</v>
      </c>
      <c r="F63" s="26">
        <v>-55</v>
      </c>
      <c r="G63" s="25" t="s">
        <v>142</v>
      </c>
      <c r="H63" s="27">
        <v>1000</v>
      </c>
      <c r="I63" s="25" t="s">
        <v>143</v>
      </c>
      <c r="J63" s="25" t="s">
        <v>192</v>
      </c>
      <c r="K63" s="25" t="s">
        <v>194</v>
      </c>
      <c r="L63" s="25" t="s">
        <v>193</v>
      </c>
      <c r="M63" s="27" t="s">
        <v>147</v>
      </c>
      <c r="N63" s="28" t="s">
        <v>194</v>
      </c>
    </row>
    <row r="64" spans="1:14" ht="15" customHeight="1" x14ac:dyDescent="0.3">
      <c r="A64" s="21" t="s">
        <v>137</v>
      </c>
      <c r="B64" s="21" t="s">
        <v>179</v>
      </c>
      <c r="C64" s="21" t="s">
        <v>180</v>
      </c>
      <c r="D64" s="21" t="s">
        <v>191</v>
      </c>
      <c r="E64" s="21" t="s">
        <v>141</v>
      </c>
      <c r="F64" s="22">
        <v>-13314</v>
      </c>
      <c r="G64" s="21" t="s">
        <v>142</v>
      </c>
      <c r="H64" s="23">
        <v>1000</v>
      </c>
      <c r="I64" s="21" t="s">
        <v>143</v>
      </c>
      <c r="J64" s="21" t="s">
        <v>192</v>
      </c>
      <c r="K64" s="21" t="s">
        <v>194</v>
      </c>
      <c r="L64" s="21" t="s">
        <v>193</v>
      </c>
      <c r="M64" s="23" t="s">
        <v>147</v>
      </c>
      <c r="N64" s="24" t="s">
        <v>194</v>
      </c>
    </row>
    <row r="65" spans="1:14" ht="15" customHeight="1" x14ac:dyDescent="0.3">
      <c r="A65" s="25" t="s">
        <v>137</v>
      </c>
      <c r="B65" s="25" t="s">
        <v>181</v>
      </c>
      <c r="C65" s="25" t="s">
        <v>182</v>
      </c>
      <c r="D65" s="25" t="s">
        <v>191</v>
      </c>
      <c r="E65" s="25" t="s">
        <v>141</v>
      </c>
      <c r="F65" s="26">
        <v>31091</v>
      </c>
      <c r="G65" s="25" t="s">
        <v>142</v>
      </c>
      <c r="H65" s="27">
        <v>1000</v>
      </c>
      <c r="I65" s="25" t="s">
        <v>143</v>
      </c>
      <c r="J65" s="25" t="s">
        <v>192</v>
      </c>
      <c r="K65" s="25" t="s">
        <v>194</v>
      </c>
      <c r="L65" s="25" t="s">
        <v>193</v>
      </c>
      <c r="M65" s="27" t="s">
        <v>147</v>
      </c>
      <c r="N65" s="28" t="s">
        <v>194</v>
      </c>
    </row>
    <row r="66" spans="1:14" ht="15" customHeight="1" x14ac:dyDescent="0.3">
      <c r="A66" s="21" t="s">
        <v>137</v>
      </c>
      <c r="B66" s="21" t="s">
        <v>183</v>
      </c>
      <c r="C66" s="21" t="s">
        <v>184</v>
      </c>
      <c r="D66" s="21" t="s">
        <v>191</v>
      </c>
      <c r="E66" s="21" t="s">
        <v>141</v>
      </c>
      <c r="F66" s="22">
        <v>17777</v>
      </c>
      <c r="G66" s="21" t="s">
        <v>142</v>
      </c>
      <c r="H66" s="23">
        <v>1000</v>
      </c>
      <c r="I66" s="21" t="s">
        <v>143</v>
      </c>
      <c r="J66" s="21" t="s">
        <v>192</v>
      </c>
      <c r="K66" s="21" t="s">
        <v>194</v>
      </c>
      <c r="L66" s="21" t="s">
        <v>193</v>
      </c>
      <c r="M66" s="23" t="s">
        <v>147</v>
      </c>
      <c r="N66" s="24" t="s">
        <v>194</v>
      </c>
    </row>
    <row r="67" spans="1:14" ht="15" customHeight="1" x14ac:dyDescent="0.3">
      <c r="A67" s="25" t="s">
        <v>137</v>
      </c>
      <c r="B67" s="25" t="s">
        <v>185</v>
      </c>
      <c r="C67" s="25" t="s">
        <v>186</v>
      </c>
      <c r="D67" s="25" t="s">
        <v>191</v>
      </c>
      <c r="E67" s="25" t="s">
        <v>141</v>
      </c>
      <c r="F67" s="26">
        <v>1710</v>
      </c>
      <c r="G67" s="25" t="s">
        <v>142</v>
      </c>
      <c r="H67" s="27">
        <v>1000</v>
      </c>
      <c r="I67" s="25" t="s">
        <v>143</v>
      </c>
      <c r="J67" s="25" t="s">
        <v>192</v>
      </c>
      <c r="K67" s="25" t="s">
        <v>194</v>
      </c>
      <c r="L67" s="25" t="s">
        <v>193</v>
      </c>
      <c r="M67" s="27" t="s">
        <v>147</v>
      </c>
      <c r="N67" s="28" t="s">
        <v>194</v>
      </c>
    </row>
    <row r="68" spans="1:14" ht="15" customHeight="1" x14ac:dyDescent="0.3">
      <c r="A68" s="21" t="s">
        <v>137</v>
      </c>
      <c r="B68" s="21" t="s">
        <v>187</v>
      </c>
      <c r="C68" s="21" t="s">
        <v>188</v>
      </c>
      <c r="D68" s="21" t="s">
        <v>191</v>
      </c>
      <c r="E68" s="21" t="s">
        <v>141</v>
      </c>
      <c r="F68" s="22">
        <v>16067</v>
      </c>
      <c r="G68" s="21" t="s">
        <v>142</v>
      </c>
      <c r="H68" s="23">
        <v>1000</v>
      </c>
      <c r="I68" s="21" t="s">
        <v>143</v>
      </c>
      <c r="J68" s="21" t="s">
        <v>192</v>
      </c>
      <c r="K68" s="21" t="s">
        <v>194</v>
      </c>
      <c r="L68" s="21" t="s">
        <v>193</v>
      </c>
      <c r="M68" s="23" t="s">
        <v>147</v>
      </c>
      <c r="N68" s="24" t="s">
        <v>194</v>
      </c>
    </row>
    <row r="69" spans="1:14" ht="15" customHeight="1" x14ac:dyDescent="0.3">
      <c r="A69" s="25" t="s">
        <v>137</v>
      </c>
      <c r="B69" s="25" t="s">
        <v>138</v>
      </c>
      <c r="C69" s="25" t="s">
        <v>139</v>
      </c>
      <c r="D69" s="25" t="s">
        <v>195</v>
      </c>
      <c r="E69" s="25" t="s">
        <v>141</v>
      </c>
      <c r="F69" s="26">
        <v>607531</v>
      </c>
      <c r="G69" s="25" t="s">
        <v>142</v>
      </c>
      <c r="H69" s="27">
        <v>1000</v>
      </c>
      <c r="I69" s="25" t="s">
        <v>143</v>
      </c>
      <c r="J69" s="25" t="s">
        <v>196</v>
      </c>
      <c r="K69" s="25" t="s">
        <v>145</v>
      </c>
      <c r="L69" s="25" t="s">
        <v>193</v>
      </c>
      <c r="M69" s="27" t="s">
        <v>147</v>
      </c>
      <c r="N69" s="28" t="s">
        <v>145</v>
      </c>
    </row>
    <row r="70" spans="1:14" ht="15" customHeight="1" x14ac:dyDescent="0.3">
      <c r="A70" s="21" t="s">
        <v>137</v>
      </c>
      <c r="B70" s="21" t="s">
        <v>148</v>
      </c>
      <c r="C70" s="21" t="s">
        <v>149</v>
      </c>
      <c r="D70" s="21" t="s">
        <v>195</v>
      </c>
      <c r="E70" s="21" t="s">
        <v>141</v>
      </c>
      <c r="F70" s="22">
        <v>54907</v>
      </c>
      <c r="G70" s="21" t="s">
        <v>142</v>
      </c>
      <c r="H70" s="23">
        <v>1000</v>
      </c>
      <c r="I70" s="21" t="s">
        <v>143</v>
      </c>
      <c r="J70" s="21" t="s">
        <v>196</v>
      </c>
      <c r="K70" s="21" t="s">
        <v>145</v>
      </c>
      <c r="L70" s="21" t="s">
        <v>193</v>
      </c>
      <c r="M70" s="23" t="s">
        <v>147</v>
      </c>
      <c r="N70" s="24" t="s">
        <v>145</v>
      </c>
    </row>
    <row r="71" spans="1:14" ht="15" customHeight="1" x14ac:dyDescent="0.3">
      <c r="A71" s="25" t="s">
        <v>137</v>
      </c>
      <c r="B71" s="25" t="s">
        <v>150</v>
      </c>
      <c r="C71" s="25" t="s">
        <v>151</v>
      </c>
      <c r="D71" s="25" t="s">
        <v>195</v>
      </c>
      <c r="E71" s="25" t="s">
        <v>141</v>
      </c>
      <c r="F71" s="26">
        <v>45640</v>
      </c>
      <c r="G71" s="25" t="s">
        <v>142</v>
      </c>
      <c r="H71" s="27">
        <v>1000</v>
      </c>
      <c r="I71" s="25" t="s">
        <v>143</v>
      </c>
      <c r="J71" s="25" t="s">
        <v>196</v>
      </c>
      <c r="K71" s="25" t="s">
        <v>145</v>
      </c>
      <c r="L71" s="25" t="s">
        <v>193</v>
      </c>
      <c r="M71" s="27" t="s">
        <v>147</v>
      </c>
      <c r="N71" s="28" t="s">
        <v>145</v>
      </c>
    </row>
    <row r="72" spans="1:14" ht="15" customHeight="1" x14ac:dyDescent="0.3">
      <c r="A72" s="21" t="s">
        <v>137</v>
      </c>
      <c r="B72" s="21" t="s">
        <v>152</v>
      </c>
      <c r="C72" s="21" t="s">
        <v>153</v>
      </c>
      <c r="D72" s="21" t="s">
        <v>195</v>
      </c>
      <c r="E72" s="21" t="s">
        <v>141</v>
      </c>
      <c r="F72" s="22">
        <v>38653</v>
      </c>
      <c r="G72" s="21" t="s">
        <v>142</v>
      </c>
      <c r="H72" s="23">
        <v>1000</v>
      </c>
      <c r="I72" s="21" t="s">
        <v>143</v>
      </c>
      <c r="J72" s="21" t="s">
        <v>196</v>
      </c>
      <c r="K72" s="21" t="s">
        <v>145</v>
      </c>
      <c r="L72" s="21" t="s">
        <v>193</v>
      </c>
      <c r="M72" s="23" t="s">
        <v>147</v>
      </c>
      <c r="N72" s="24" t="s">
        <v>145</v>
      </c>
    </row>
    <row r="73" spans="1:14" ht="15" customHeight="1" x14ac:dyDescent="0.3">
      <c r="A73" s="25" t="s">
        <v>137</v>
      </c>
      <c r="B73" s="25" t="s">
        <v>154</v>
      </c>
      <c r="C73" s="25" t="s">
        <v>155</v>
      </c>
      <c r="D73" s="25" t="s">
        <v>195</v>
      </c>
      <c r="E73" s="25" t="s">
        <v>141</v>
      </c>
      <c r="F73" s="26">
        <v>1293</v>
      </c>
      <c r="G73" s="25" t="s">
        <v>142</v>
      </c>
      <c r="H73" s="27">
        <v>1000</v>
      </c>
      <c r="I73" s="25" t="s">
        <v>143</v>
      </c>
      <c r="J73" s="25" t="s">
        <v>196</v>
      </c>
      <c r="K73" s="25" t="s">
        <v>145</v>
      </c>
      <c r="L73" s="25" t="s">
        <v>193</v>
      </c>
      <c r="M73" s="27" t="s">
        <v>147</v>
      </c>
      <c r="N73" s="28" t="s">
        <v>145</v>
      </c>
    </row>
    <row r="74" spans="1:14" ht="15" customHeight="1" x14ac:dyDescent="0.3">
      <c r="A74" s="21" t="s">
        <v>137</v>
      </c>
      <c r="B74" s="21" t="s">
        <v>156</v>
      </c>
      <c r="C74" s="21" t="s">
        <v>157</v>
      </c>
      <c r="D74" s="21" t="s">
        <v>195</v>
      </c>
      <c r="E74" s="21" t="s">
        <v>141</v>
      </c>
      <c r="F74" s="22">
        <v>748024</v>
      </c>
      <c r="G74" s="21" t="s">
        <v>142</v>
      </c>
      <c r="H74" s="23">
        <v>1000</v>
      </c>
      <c r="I74" s="21" t="s">
        <v>143</v>
      </c>
      <c r="J74" s="21" t="s">
        <v>196</v>
      </c>
      <c r="K74" s="21" t="s">
        <v>145</v>
      </c>
      <c r="L74" s="21" t="s">
        <v>193</v>
      </c>
      <c r="M74" s="23" t="s">
        <v>147</v>
      </c>
      <c r="N74" s="24" t="s">
        <v>145</v>
      </c>
    </row>
    <row r="75" spans="1:14" ht="15" customHeight="1" x14ac:dyDescent="0.3">
      <c r="A75" s="25" t="s">
        <v>137</v>
      </c>
      <c r="B75" s="25" t="s">
        <v>158</v>
      </c>
      <c r="C75" s="25" t="s">
        <v>159</v>
      </c>
      <c r="D75" s="25" t="s">
        <v>195</v>
      </c>
      <c r="E75" s="25" t="s">
        <v>141</v>
      </c>
      <c r="F75" s="26">
        <v>203645</v>
      </c>
      <c r="G75" s="25" t="s">
        <v>142</v>
      </c>
      <c r="H75" s="27">
        <v>1000</v>
      </c>
      <c r="I75" s="25" t="s">
        <v>143</v>
      </c>
      <c r="J75" s="25" t="s">
        <v>196</v>
      </c>
      <c r="K75" s="25" t="s">
        <v>194</v>
      </c>
      <c r="L75" s="25" t="s">
        <v>193</v>
      </c>
      <c r="M75" s="27" t="s">
        <v>147</v>
      </c>
      <c r="N75" s="28" t="s">
        <v>194</v>
      </c>
    </row>
    <row r="76" spans="1:14" ht="15" customHeight="1" x14ac:dyDescent="0.3">
      <c r="A76" s="21" t="s">
        <v>137</v>
      </c>
      <c r="B76" s="21" t="s">
        <v>161</v>
      </c>
      <c r="C76" s="21" t="s">
        <v>162</v>
      </c>
      <c r="D76" s="21" t="s">
        <v>195</v>
      </c>
      <c r="E76" s="21" t="s">
        <v>141</v>
      </c>
      <c r="F76" s="22">
        <v>544379</v>
      </c>
      <c r="G76" s="21" t="s">
        <v>142</v>
      </c>
      <c r="H76" s="23">
        <v>1000</v>
      </c>
      <c r="I76" s="21" t="s">
        <v>143</v>
      </c>
      <c r="J76" s="21" t="s">
        <v>196</v>
      </c>
      <c r="K76" s="21" t="s">
        <v>194</v>
      </c>
      <c r="L76" s="21" t="s">
        <v>193</v>
      </c>
      <c r="M76" s="23" t="s">
        <v>147</v>
      </c>
      <c r="N76" s="24" t="s">
        <v>194</v>
      </c>
    </row>
    <row r="77" spans="1:14" ht="15" customHeight="1" x14ac:dyDescent="0.3">
      <c r="A77" s="25" t="s">
        <v>137</v>
      </c>
      <c r="B77" s="25" t="s">
        <v>163</v>
      </c>
      <c r="C77" s="25" t="s">
        <v>164</v>
      </c>
      <c r="D77" s="25" t="s">
        <v>195</v>
      </c>
      <c r="E77" s="25" t="s">
        <v>141</v>
      </c>
      <c r="F77" s="26">
        <v>235298</v>
      </c>
      <c r="G77" s="25" t="s">
        <v>142</v>
      </c>
      <c r="H77" s="27">
        <v>1000</v>
      </c>
      <c r="I77" s="25" t="s">
        <v>143</v>
      </c>
      <c r="J77" s="25" t="s">
        <v>196</v>
      </c>
      <c r="K77" s="25" t="s">
        <v>194</v>
      </c>
      <c r="L77" s="25" t="s">
        <v>193</v>
      </c>
      <c r="M77" s="27" t="s">
        <v>147</v>
      </c>
      <c r="N77" s="28" t="s">
        <v>194</v>
      </c>
    </row>
    <row r="78" spans="1:14" ht="15" customHeight="1" x14ac:dyDescent="0.3">
      <c r="A78" s="21" t="s">
        <v>137</v>
      </c>
      <c r="B78" s="21" t="s">
        <v>165</v>
      </c>
      <c r="C78" s="21" t="s">
        <v>166</v>
      </c>
      <c r="D78" s="21" t="s">
        <v>195</v>
      </c>
      <c r="E78" s="21" t="s">
        <v>141</v>
      </c>
      <c r="F78" s="22">
        <v>90494</v>
      </c>
      <c r="G78" s="21" t="s">
        <v>142</v>
      </c>
      <c r="H78" s="23">
        <v>1000</v>
      </c>
      <c r="I78" s="21" t="s">
        <v>143</v>
      </c>
      <c r="J78" s="21" t="s">
        <v>196</v>
      </c>
      <c r="K78" s="21" t="s">
        <v>194</v>
      </c>
      <c r="L78" s="21" t="s">
        <v>193</v>
      </c>
      <c r="M78" s="23" t="s">
        <v>147</v>
      </c>
      <c r="N78" s="24" t="s">
        <v>194</v>
      </c>
    </row>
    <row r="79" spans="1:14" ht="15" customHeight="1" x14ac:dyDescent="0.3">
      <c r="A79" s="25" t="s">
        <v>137</v>
      </c>
      <c r="B79" s="25" t="s">
        <v>167</v>
      </c>
      <c r="C79" s="25" t="s">
        <v>168</v>
      </c>
      <c r="D79" s="25" t="s">
        <v>195</v>
      </c>
      <c r="E79" s="25" t="s">
        <v>141</v>
      </c>
      <c r="F79" s="26">
        <v>155992</v>
      </c>
      <c r="G79" s="25" t="s">
        <v>142</v>
      </c>
      <c r="H79" s="27">
        <v>1000</v>
      </c>
      <c r="I79" s="25" t="s">
        <v>143</v>
      </c>
      <c r="J79" s="25" t="s">
        <v>196</v>
      </c>
      <c r="K79" s="25" t="s">
        <v>194</v>
      </c>
      <c r="L79" s="25" t="s">
        <v>193</v>
      </c>
      <c r="M79" s="27" t="s">
        <v>147</v>
      </c>
      <c r="N79" s="28" t="s">
        <v>194</v>
      </c>
    </row>
    <row r="80" spans="1:14" ht="15" customHeight="1" x14ac:dyDescent="0.3">
      <c r="A80" s="21" t="s">
        <v>137</v>
      </c>
      <c r="B80" s="21" t="s">
        <v>169</v>
      </c>
      <c r="C80" s="21" t="s">
        <v>170</v>
      </c>
      <c r="D80" s="21" t="s">
        <v>195</v>
      </c>
      <c r="E80" s="21" t="s">
        <v>141</v>
      </c>
      <c r="F80" s="22">
        <v>481784</v>
      </c>
      <c r="G80" s="21" t="s">
        <v>142</v>
      </c>
      <c r="H80" s="23">
        <v>1000</v>
      </c>
      <c r="I80" s="21" t="s">
        <v>143</v>
      </c>
      <c r="J80" s="21" t="s">
        <v>196</v>
      </c>
      <c r="K80" s="21" t="s">
        <v>194</v>
      </c>
      <c r="L80" s="21" t="s">
        <v>193</v>
      </c>
      <c r="M80" s="23" t="s">
        <v>147</v>
      </c>
      <c r="N80" s="24" t="s">
        <v>194</v>
      </c>
    </row>
    <row r="81" spans="1:14" ht="15" customHeight="1" x14ac:dyDescent="0.3">
      <c r="A81" s="25" t="s">
        <v>137</v>
      </c>
      <c r="B81" s="25" t="s">
        <v>171</v>
      </c>
      <c r="C81" s="25" t="s">
        <v>172</v>
      </c>
      <c r="D81" s="25" t="s">
        <v>195</v>
      </c>
      <c r="E81" s="25" t="s">
        <v>141</v>
      </c>
      <c r="F81" s="26">
        <v>62595</v>
      </c>
      <c r="G81" s="25" t="s">
        <v>142</v>
      </c>
      <c r="H81" s="27">
        <v>1000</v>
      </c>
      <c r="I81" s="25" t="s">
        <v>143</v>
      </c>
      <c r="J81" s="25" t="s">
        <v>196</v>
      </c>
      <c r="K81" s="25" t="s">
        <v>194</v>
      </c>
      <c r="L81" s="25" t="s">
        <v>193</v>
      </c>
      <c r="M81" s="27" t="s">
        <v>147</v>
      </c>
      <c r="N81" s="28" t="s">
        <v>194</v>
      </c>
    </row>
    <row r="82" spans="1:14" ht="15" customHeight="1" x14ac:dyDescent="0.3">
      <c r="A82" s="21" t="s">
        <v>137</v>
      </c>
      <c r="B82" s="21" t="s">
        <v>173</v>
      </c>
      <c r="C82" s="21" t="s">
        <v>174</v>
      </c>
      <c r="D82" s="21" t="s">
        <v>195</v>
      </c>
      <c r="E82" s="21" t="s">
        <v>141</v>
      </c>
      <c r="F82" s="22">
        <v>1267</v>
      </c>
      <c r="G82" s="21" t="s">
        <v>142</v>
      </c>
      <c r="H82" s="23">
        <v>1000</v>
      </c>
      <c r="I82" s="21" t="s">
        <v>143</v>
      </c>
      <c r="J82" s="21" t="s">
        <v>196</v>
      </c>
      <c r="K82" s="21" t="s">
        <v>194</v>
      </c>
      <c r="L82" s="21" t="s">
        <v>193</v>
      </c>
      <c r="M82" s="23" t="s">
        <v>147</v>
      </c>
      <c r="N82" s="24" t="s">
        <v>194</v>
      </c>
    </row>
    <row r="83" spans="1:14" ht="15" customHeight="1" x14ac:dyDescent="0.3">
      <c r="A83" s="25" t="s">
        <v>137</v>
      </c>
      <c r="B83" s="25" t="s">
        <v>175</v>
      </c>
      <c r="C83" s="25" t="s">
        <v>176</v>
      </c>
      <c r="D83" s="25" t="s">
        <v>195</v>
      </c>
      <c r="E83" s="25" t="s">
        <v>141</v>
      </c>
      <c r="F83" s="26">
        <v>-4253</v>
      </c>
      <c r="G83" s="25" t="s">
        <v>142</v>
      </c>
      <c r="H83" s="27">
        <v>1000</v>
      </c>
      <c r="I83" s="25" t="s">
        <v>143</v>
      </c>
      <c r="J83" s="25" t="s">
        <v>196</v>
      </c>
      <c r="K83" s="25" t="s">
        <v>194</v>
      </c>
      <c r="L83" s="25" t="s">
        <v>193</v>
      </c>
      <c r="M83" s="27" t="s">
        <v>147</v>
      </c>
      <c r="N83" s="28" t="s">
        <v>194</v>
      </c>
    </row>
    <row r="84" spans="1:14" ht="15" customHeight="1" x14ac:dyDescent="0.3">
      <c r="A84" s="21" t="s">
        <v>137</v>
      </c>
      <c r="B84" s="21" t="s">
        <v>177</v>
      </c>
      <c r="C84" s="21" t="s">
        <v>178</v>
      </c>
      <c r="D84" s="21" t="s">
        <v>195</v>
      </c>
      <c r="E84" s="21" t="s">
        <v>141</v>
      </c>
      <c r="F84" s="22">
        <v>-2986</v>
      </c>
      <c r="G84" s="21" t="s">
        <v>142</v>
      </c>
      <c r="H84" s="23">
        <v>1000</v>
      </c>
      <c r="I84" s="21" t="s">
        <v>143</v>
      </c>
      <c r="J84" s="21" t="s">
        <v>196</v>
      </c>
      <c r="K84" s="21" t="s">
        <v>194</v>
      </c>
      <c r="L84" s="21" t="s">
        <v>193</v>
      </c>
      <c r="M84" s="23" t="s">
        <v>147</v>
      </c>
      <c r="N84" s="24" t="s">
        <v>194</v>
      </c>
    </row>
    <row r="85" spans="1:14" ht="15" customHeight="1" x14ac:dyDescent="0.3">
      <c r="A85" s="25" t="s">
        <v>137</v>
      </c>
      <c r="B85" s="25" t="s">
        <v>179</v>
      </c>
      <c r="C85" s="25" t="s">
        <v>180</v>
      </c>
      <c r="D85" s="25" t="s">
        <v>195</v>
      </c>
      <c r="E85" s="25" t="s">
        <v>141</v>
      </c>
      <c r="F85" s="26">
        <v>59609</v>
      </c>
      <c r="G85" s="25" t="s">
        <v>142</v>
      </c>
      <c r="H85" s="27">
        <v>1000</v>
      </c>
      <c r="I85" s="25" t="s">
        <v>143</v>
      </c>
      <c r="J85" s="25" t="s">
        <v>196</v>
      </c>
      <c r="K85" s="25" t="s">
        <v>194</v>
      </c>
      <c r="L85" s="25" t="s">
        <v>193</v>
      </c>
      <c r="M85" s="27" t="s">
        <v>147</v>
      </c>
      <c r="N85" s="28" t="s">
        <v>194</v>
      </c>
    </row>
    <row r="86" spans="1:14" ht="15" customHeight="1" x14ac:dyDescent="0.3">
      <c r="A86" s="21" t="s">
        <v>137</v>
      </c>
      <c r="B86" s="21" t="s">
        <v>181</v>
      </c>
      <c r="C86" s="21" t="s">
        <v>182</v>
      </c>
      <c r="D86" s="21" t="s">
        <v>195</v>
      </c>
      <c r="E86" s="21" t="s">
        <v>141</v>
      </c>
      <c r="F86" s="22">
        <v>42697</v>
      </c>
      <c r="G86" s="21" t="s">
        <v>142</v>
      </c>
      <c r="H86" s="23">
        <v>1000</v>
      </c>
      <c r="I86" s="21" t="s">
        <v>143</v>
      </c>
      <c r="J86" s="21" t="s">
        <v>196</v>
      </c>
      <c r="K86" s="21" t="s">
        <v>194</v>
      </c>
      <c r="L86" s="21" t="s">
        <v>193</v>
      </c>
      <c r="M86" s="23" t="s">
        <v>147</v>
      </c>
      <c r="N86" s="24" t="s">
        <v>194</v>
      </c>
    </row>
    <row r="87" spans="1:14" ht="15" customHeight="1" x14ac:dyDescent="0.3">
      <c r="A87" s="25" t="s">
        <v>137</v>
      </c>
      <c r="B87" s="25" t="s">
        <v>183</v>
      </c>
      <c r="C87" s="25" t="s">
        <v>184</v>
      </c>
      <c r="D87" s="25" t="s">
        <v>195</v>
      </c>
      <c r="E87" s="25" t="s">
        <v>141</v>
      </c>
      <c r="F87" s="26">
        <v>102306</v>
      </c>
      <c r="G87" s="25" t="s">
        <v>142</v>
      </c>
      <c r="H87" s="27">
        <v>1000</v>
      </c>
      <c r="I87" s="25" t="s">
        <v>143</v>
      </c>
      <c r="J87" s="25" t="s">
        <v>196</v>
      </c>
      <c r="K87" s="25" t="s">
        <v>194</v>
      </c>
      <c r="L87" s="25" t="s">
        <v>193</v>
      </c>
      <c r="M87" s="27" t="s">
        <v>147</v>
      </c>
      <c r="N87" s="28" t="s">
        <v>194</v>
      </c>
    </row>
    <row r="88" spans="1:14" ht="15" customHeight="1" x14ac:dyDescent="0.3">
      <c r="A88" s="21" t="s">
        <v>137</v>
      </c>
      <c r="B88" s="21" t="s">
        <v>185</v>
      </c>
      <c r="C88" s="21" t="s">
        <v>186</v>
      </c>
      <c r="D88" s="21" t="s">
        <v>195</v>
      </c>
      <c r="E88" s="21" t="s">
        <v>141</v>
      </c>
      <c r="F88" s="22">
        <v>13732</v>
      </c>
      <c r="G88" s="21" t="s">
        <v>142</v>
      </c>
      <c r="H88" s="23">
        <v>1000</v>
      </c>
      <c r="I88" s="21" t="s">
        <v>143</v>
      </c>
      <c r="J88" s="21" t="s">
        <v>196</v>
      </c>
      <c r="K88" s="21" t="s">
        <v>194</v>
      </c>
      <c r="L88" s="21" t="s">
        <v>193</v>
      </c>
      <c r="M88" s="23" t="s">
        <v>147</v>
      </c>
      <c r="N88" s="24" t="s">
        <v>194</v>
      </c>
    </row>
    <row r="89" spans="1:14" ht="15" customHeight="1" x14ac:dyDescent="0.3">
      <c r="A89" s="25" t="s">
        <v>137</v>
      </c>
      <c r="B89" s="25" t="s">
        <v>187</v>
      </c>
      <c r="C89" s="25" t="s">
        <v>188</v>
      </c>
      <c r="D89" s="25" t="s">
        <v>195</v>
      </c>
      <c r="E89" s="25" t="s">
        <v>141</v>
      </c>
      <c r="F89" s="26">
        <v>88574</v>
      </c>
      <c r="G89" s="25" t="s">
        <v>142</v>
      </c>
      <c r="H89" s="27">
        <v>1000</v>
      </c>
      <c r="I89" s="25" t="s">
        <v>143</v>
      </c>
      <c r="J89" s="25" t="s">
        <v>196</v>
      </c>
      <c r="K89" s="25" t="s">
        <v>194</v>
      </c>
      <c r="L89" s="25" t="s">
        <v>193</v>
      </c>
      <c r="M89" s="27" t="s">
        <v>147</v>
      </c>
      <c r="N89" s="28" t="s">
        <v>194</v>
      </c>
    </row>
    <row r="90" spans="1:14" ht="15" customHeight="1" x14ac:dyDescent="0.3">
      <c r="A90" s="21" t="s">
        <v>137</v>
      </c>
      <c r="B90" s="21" t="s">
        <v>138</v>
      </c>
      <c r="C90" s="21" t="s">
        <v>139</v>
      </c>
      <c r="D90" s="21" t="s">
        <v>197</v>
      </c>
      <c r="E90" s="21" t="s">
        <v>141</v>
      </c>
      <c r="F90" s="22">
        <v>873442</v>
      </c>
      <c r="G90" s="21" t="s">
        <v>142</v>
      </c>
      <c r="H90" s="23">
        <v>1000</v>
      </c>
      <c r="I90" s="21" t="s">
        <v>143</v>
      </c>
      <c r="J90" s="21" t="s">
        <v>198</v>
      </c>
      <c r="K90" s="21" t="s">
        <v>145</v>
      </c>
      <c r="L90" s="21" t="s">
        <v>193</v>
      </c>
      <c r="M90" s="23" t="s">
        <v>147</v>
      </c>
      <c r="N90" s="24" t="s">
        <v>145</v>
      </c>
    </row>
    <row r="91" spans="1:14" ht="15" customHeight="1" x14ac:dyDescent="0.3">
      <c r="A91" s="25" t="s">
        <v>137</v>
      </c>
      <c r="B91" s="25" t="s">
        <v>148</v>
      </c>
      <c r="C91" s="25" t="s">
        <v>149</v>
      </c>
      <c r="D91" s="25" t="s">
        <v>197</v>
      </c>
      <c r="E91" s="25" t="s">
        <v>141</v>
      </c>
      <c r="F91" s="26">
        <v>79725</v>
      </c>
      <c r="G91" s="25" t="s">
        <v>142</v>
      </c>
      <c r="H91" s="27">
        <v>1000</v>
      </c>
      <c r="I91" s="25" t="s">
        <v>143</v>
      </c>
      <c r="J91" s="25" t="s">
        <v>198</v>
      </c>
      <c r="K91" s="25" t="s">
        <v>145</v>
      </c>
      <c r="L91" s="25" t="s">
        <v>193</v>
      </c>
      <c r="M91" s="27" t="s">
        <v>147</v>
      </c>
      <c r="N91" s="28" t="s">
        <v>145</v>
      </c>
    </row>
    <row r="92" spans="1:14" ht="15" customHeight="1" x14ac:dyDescent="0.3">
      <c r="A92" s="21" t="s">
        <v>137</v>
      </c>
      <c r="B92" s="21" t="s">
        <v>150</v>
      </c>
      <c r="C92" s="21" t="s">
        <v>151</v>
      </c>
      <c r="D92" s="21" t="s">
        <v>197</v>
      </c>
      <c r="E92" s="21" t="s">
        <v>141</v>
      </c>
      <c r="F92" s="22">
        <v>42006</v>
      </c>
      <c r="G92" s="21" t="s">
        <v>142</v>
      </c>
      <c r="H92" s="23">
        <v>1000</v>
      </c>
      <c r="I92" s="21" t="s">
        <v>143</v>
      </c>
      <c r="J92" s="21" t="s">
        <v>198</v>
      </c>
      <c r="K92" s="21" t="s">
        <v>145</v>
      </c>
      <c r="L92" s="21" t="s">
        <v>193</v>
      </c>
      <c r="M92" s="23" t="s">
        <v>147</v>
      </c>
      <c r="N92" s="24" t="s">
        <v>145</v>
      </c>
    </row>
    <row r="93" spans="1:14" ht="15" customHeight="1" x14ac:dyDescent="0.3">
      <c r="A93" s="25" t="s">
        <v>137</v>
      </c>
      <c r="B93" s="25" t="s">
        <v>152</v>
      </c>
      <c r="C93" s="25" t="s">
        <v>153</v>
      </c>
      <c r="D93" s="25" t="s">
        <v>197</v>
      </c>
      <c r="E93" s="25" t="s">
        <v>141</v>
      </c>
      <c r="F93" s="26">
        <v>40479</v>
      </c>
      <c r="G93" s="25" t="s">
        <v>142</v>
      </c>
      <c r="H93" s="27">
        <v>1000</v>
      </c>
      <c r="I93" s="25" t="s">
        <v>143</v>
      </c>
      <c r="J93" s="25" t="s">
        <v>198</v>
      </c>
      <c r="K93" s="25" t="s">
        <v>145</v>
      </c>
      <c r="L93" s="25" t="s">
        <v>193</v>
      </c>
      <c r="M93" s="27" t="s">
        <v>147</v>
      </c>
      <c r="N93" s="28" t="s">
        <v>145</v>
      </c>
    </row>
    <row r="94" spans="1:14" ht="15" customHeight="1" x14ac:dyDescent="0.3">
      <c r="A94" s="21" t="s">
        <v>137</v>
      </c>
      <c r="B94" s="21" t="s">
        <v>154</v>
      </c>
      <c r="C94" s="21" t="s">
        <v>155</v>
      </c>
      <c r="D94" s="21" t="s">
        <v>197</v>
      </c>
      <c r="E94" s="21" t="s">
        <v>141</v>
      </c>
      <c r="F94" s="22">
        <v>1937</v>
      </c>
      <c r="G94" s="21" t="s">
        <v>142</v>
      </c>
      <c r="H94" s="23">
        <v>1000</v>
      </c>
      <c r="I94" s="21" t="s">
        <v>143</v>
      </c>
      <c r="J94" s="21" t="s">
        <v>198</v>
      </c>
      <c r="K94" s="21" t="s">
        <v>145</v>
      </c>
      <c r="L94" s="21" t="s">
        <v>193</v>
      </c>
      <c r="M94" s="23" t="s">
        <v>147</v>
      </c>
      <c r="N94" s="24" t="s">
        <v>145</v>
      </c>
    </row>
    <row r="95" spans="1:14" ht="15" customHeight="1" x14ac:dyDescent="0.3">
      <c r="A95" s="25" t="s">
        <v>137</v>
      </c>
      <c r="B95" s="25" t="s">
        <v>156</v>
      </c>
      <c r="C95" s="25" t="s">
        <v>157</v>
      </c>
      <c r="D95" s="25" t="s">
        <v>197</v>
      </c>
      <c r="E95" s="25" t="s">
        <v>141</v>
      </c>
      <c r="F95" s="26">
        <v>1037589</v>
      </c>
      <c r="G95" s="25" t="s">
        <v>142</v>
      </c>
      <c r="H95" s="27">
        <v>1000</v>
      </c>
      <c r="I95" s="25" t="s">
        <v>143</v>
      </c>
      <c r="J95" s="25" t="s">
        <v>198</v>
      </c>
      <c r="K95" s="25" t="s">
        <v>145</v>
      </c>
      <c r="L95" s="25" t="s">
        <v>193</v>
      </c>
      <c r="M95" s="27" t="s">
        <v>147</v>
      </c>
      <c r="N95" s="28" t="s">
        <v>145</v>
      </c>
    </row>
    <row r="96" spans="1:14" ht="15" customHeight="1" x14ac:dyDescent="0.3">
      <c r="A96" s="21" t="s">
        <v>137</v>
      </c>
      <c r="B96" s="21" t="s">
        <v>158</v>
      </c>
      <c r="C96" s="21" t="s">
        <v>159</v>
      </c>
      <c r="D96" s="21" t="s">
        <v>197</v>
      </c>
      <c r="E96" s="21" t="s">
        <v>141</v>
      </c>
      <c r="F96" s="22">
        <v>288132</v>
      </c>
      <c r="G96" s="21" t="s">
        <v>142</v>
      </c>
      <c r="H96" s="23">
        <v>1000</v>
      </c>
      <c r="I96" s="21" t="s">
        <v>143</v>
      </c>
      <c r="J96" s="21" t="s">
        <v>198</v>
      </c>
      <c r="K96" s="21" t="s">
        <v>194</v>
      </c>
      <c r="L96" s="21" t="s">
        <v>193</v>
      </c>
      <c r="M96" s="23" t="s">
        <v>147</v>
      </c>
      <c r="N96" s="24" t="s">
        <v>194</v>
      </c>
    </row>
    <row r="97" spans="1:14" ht="15" customHeight="1" x14ac:dyDescent="0.3">
      <c r="A97" s="25" t="s">
        <v>137</v>
      </c>
      <c r="B97" s="25" t="s">
        <v>161</v>
      </c>
      <c r="C97" s="25" t="s">
        <v>162</v>
      </c>
      <c r="D97" s="25" t="s">
        <v>197</v>
      </c>
      <c r="E97" s="25" t="s">
        <v>141</v>
      </c>
      <c r="F97" s="26">
        <v>749457</v>
      </c>
      <c r="G97" s="25" t="s">
        <v>142</v>
      </c>
      <c r="H97" s="27">
        <v>1000</v>
      </c>
      <c r="I97" s="25" t="s">
        <v>143</v>
      </c>
      <c r="J97" s="25" t="s">
        <v>198</v>
      </c>
      <c r="K97" s="25" t="s">
        <v>194</v>
      </c>
      <c r="L97" s="25" t="s">
        <v>193</v>
      </c>
      <c r="M97" s="27" t="s">
        <v>147</v>
      </c>
      <c r="N97" s="28" t="s">
        <v>194</v>
      </c>
    </row>
    <row r="98" spans="1:14" ht="15" customHeight="1" x14ac:dyDescent="0.3">
      <c r="A98" s="21" t="s">
        <v>137</v>
      </c>
      <c r="B98" s="21" t="s">
        <v>163</v>
      </c>
      <c r="C98" s="21" t="s">
        <v>164</v>
      </c>
      <c r="D98" s="21" t="s">
        <v>197</v>
      </c>
      <c r="E98" s="21" t="s">
        <v>141</v>
      </c>
      <c r="F98" s="22">
        <v>306323</v>
      </c>
      <c r="G98" s="21" t="s">
        <v>142</v>
      </c>
      <c r="H98" s="23">
        <v>1000</v>
      </c>
      <c r="I98" s="21" t="s">
        <v>143</v>
      </c>
      <c r="J98" s="21" t="s">
        <v>198</v>
      </c>
      <c r="K98" s="21" t="s">
        <v>194</v>
      </c>
      <c r="L98" s="21" t="s">
        <v>193</v>
      </c>
      <c r="M98" s="23" t="s">
        <v>147</v>
      </c>
      <c r="N98" s="24" t="s">
        <v>194</v>
      </c>
    </row>
    <row r="99" spans="1:14" ht="15" customHeight="1" x14ac:dyDescent="0.3">
      <c r="A99" s="25" t="s">
        <v>137</v>
      </c>
      <c r="B99" s="25" t="s">
        <v>165</v>
      </c>
      <c r="C99" s="25" t="s">
        <v>166</v>
      </c>
      <c r="D99" s="25" t="s">
        <v>197</v>
      </c>
      <c r="E99" s="25" t="s">
        <v>141</v>
      </c>
      <c r="F99" s="26">
        <v>125677</v>
      </c>
      <c r="G99" s="25" t="s">
        <v>142</v>
      </c>
      <c r="H99" s="27">
        <v>1000</v>
      </c>
      <c r="I99" s="25" t="s">
        <v>143</v>
      </c>
      <c r="J99" s="25" t="s">
        <v>198</v>
      </c>
      <c r="K99" s="25" t="s">
        <v>194</v>
      </c>
      <c r="L99" s="25" t="s">
        <v>193</v>
      </c>
      <c r="M99" s="27" t="s">
        <v>147</v>
      </c>
      <c r="N99" s="28" t="s">
        <v>194</v>
      </c>
    </row>
    <row r="100" spans="1:14" ht="15" customHeight="1" x14ac:dyDescent="0.3">
      <c r="A100" s="21" t="s">
        <v>137</v>
      </c>
      <c r="B100" s="21" t="s">
        <v>167</v>
      </c>
      <c r="C100" s="21" t="s">
        <v>168</v>
      </c>
      <c r="D100" s="21" t="s">
        <v>197</v>
      </c>
      <c r="E100" s="21" t="s">
        <v>141</v>
      </c>
      <c r="F100" s="22">
        <v>181887</v>
      </c>
      <c r="G100" s="21" t="s">
        <v>142</v>
      </c>
      <c r="H100" s="23">
        <v>1000</v>
      </c>
      <c r="I100" s="21" t="s">
        <v>143</v>
      </c>
      <c r="J100" s="21" t="s">
        <v>198</v>
      </c>
      <c r="K100" s="21" t="s">
        <v>194</v>
      </c>
      <c r="L100" s="21" t="s">
        <v>193</v>
      </c>
      <c r="M100" s="23" t="s">
        <v>147</v>
      </c>
      <c r="N100" s="24" t="s">
        <v>194</v>
      </c>
    </row>
    <row r="101" spans="1:14" ht="15" customHeight="1" x14ac:dyDescent="0.3">
      <c r="A101" s="25" t="s">
        <v>137</v>
      </c>
      <c r="B101" s="25" t="s">
        <v>169</v>
      </c>
      <c r="C101" s="25" t="s">
        <v>170</v>
      </c>
      <c r="D101" s="25" t="s">
        <v>197</v>
      </c>
      <c r="E101" s="25" t="s">
        <v>141</v>
      </c>
      <c r="F101" s="26">
        <v>613887</v>
      </c>
      <c r="G101" s="25" t="s">
        <v>142</v>
      </c>
      <c r="H101" s="27">
        <v>1000</v>
      </c>
      <c r="I101" s="25" t="s">
        <v>143</v>
      </c>
      <c r="J101" s="25" t="s">
        <v>198</v>
      </c>
      <c r="K101" s="25" t="s">
        <v>194</v>
      </c>
      <c r="L101" s="25" t="s">
        <v>193</v>
      </c>
      <c r="M101" s="27" t="s">
        <v>147</v>
      </c>
      <c r="N101" s="28" t="s">
        <v>194</v>
      </c>
    </row>
    <row r="102" spans="1:14" ht="15" customHeight="1" x14ac:dyDescent="0.3">
      <c r="A102" s="21" t="s">
        <v>137</v>
      </c>
      <c r="B102" s="21" t="s">
        <v>171</v>
      </c>
      <c r="C102" s="21" t="s">
        <v>172</v>
      </c>
      <c r="D102" s="21" t="s">
        <v>197</v>
      </c>
      <c r="E102" s="21" t="s">
        <v>141</v>
      </c>
      <c r="F102" s="22">
        <v>135570</v>
      </c>
      <c r="G102" s="21" t="s">
        <v>142</v>
      </c>
      <c r="H102" s="23">
        <v>1000</v>
      </c>
      <c r="I102" s="21" t="s">
        <v>143</v>
      </c>
      <c r="J102" s="21" t="s">
        <v>198</v>
      </c>
      <c r="K102" s="21" t="s">
        <v>194</v>
      </c>
      <c r="L102" s="21" t="s">
        <v>193</v>
      </c>
      <c r="M102" s="23" t="s">
        <v>147</v>
      </c>
      <c r="N102" s="24" t="s">
        <v>194</v>
      </c>
    </row>
    <row r="103" spans="1:14" ht="15" customHeight="1" x14ac:dyDescent="0.3">
      <c r="A103" s="25" t="s">
        <v>137</v>
      </c>
      <c r="B103" s="25" t="s">
        <v>173</v>
      </c>
      <c r="C103" s="25" t="s">
        <v>174</v>
      </c>
      <c r="D103" s="25" t="s">
        <v>197</v>
      </c>
      <c r="E103" s="25" t="s">
        <v>141</v>
      </c>
      <c r="F103" s="26">
        <v>3382</v>
      </c>
      <c r="G103" s="25" t="s">
        <v>142</v>
      </c>
      <c r="H103" s="27">
        <v>1000</v>
      </c>
      <c r="I103" s="25" t="s">
        <v>143</v>
      </c>
      <c r="J103" s="25" t="s">
        <v>198</v>
      </c>
      <c r="K103" s="25" t="s">
        <v>194</v>
      </c>
      <c r="L103" s="25" t="s">
        <v>193</v>
      </c>
      <c r="M103" s="27" t="s">
        <v>147</v>
      </c>
      <c r="N103" s="28" t="s">
        <v>194</v>
      </c>
    </row>
    <row r="104" spans="1:14" ht="15" customHeight="1" x14ac:dyDescent="0.3">
      <c r="A104" s="21" t="s">
        <v>137</v>
      </c>
      <c r="B104" s="21" t="s">
        <v>175</v>
      </c>
      <c r="C104" s="21" t="s">
        <v>176</v>
      </c>
      <c r="D104" s="21" t="s">
        <v>197</v>
      </c>
      <c r="E104" s="21" t="s">
        <v>141</v>
      </c>
      <c r="F104" s="22">
        <v>-1773</v>
      </c>
      <c r="G104" s="21" t="s">
        <v>142</v>
      </c>
      <c r="H104" s="23">
        <v>1000</v>
      </c>
      <c r="I104" s="21" t="s">
        <v>143</v>
      </c>
      <c r="J104" s="21" t="s">
        <v>198</v>
      </c>
      <c r="K104" s="21" t="s">
        <v>194</v>
      </c>
      <c r="L104" s="21" t="s">
        <v>193</v>
      </c>
      <c r="M104" s="23" t="s">
        <v>147</v>
      </c>
      <c r="N104" s="24" t="s">
        <v>194</v>
      </c>
    </row>
    <row r="105" spans="1:14" ht="15" customHeight="1" x14ac:dyDescent="0.3">
      <c r="A105" s="25" t="s">
        <v>137</v>
      </c>
      <c r="B105" s="25" t="s">
        <v>177</v>
      </c>
      <c r="C105" s="25" t="s">
        <v>178</v>
      </c>
      <c r="D105" s="25" t="s">
        <v>197</v>
      </c>
      <c r="E105" s="25" t="s">
        <v>141</v>
      </c>
      <c r="F105" s="26">
        <v>1609</v>
      </c>
      <c r="G105" s="25" t="s">
        <v>142</v>
      </c>
      <c r="H105" s="27">
        <v>1000</v>
      </c>
      <c r="I105" s="25" t="s">
        <v>143</v>
      </c>
      <c r="J105" s="25" t="s">
        <v>198</v>
      </c>
      <c r="K105" s="25" t="s">
        <v>194</v>
      </c>
      <c r="L105" s="25" t="s">
        <v>193</v>
      </c>
      <c r="M105" s="27" t="s">
        <v>147</v>
      </c>
      <c r="N105" s="28" t="s">
        <v>194</v>
      </c>
    </row>
    <row r="106" spans="1:14" ht="15" customHeight="1" x14ac:dyDescent="0.3">
      <c r="A106" s="21" t="s">
        <v>137</v>
      </c>
      <c r="B106" s="21" t="s">
        <v>179</v>
      </c>
      <c r="C106" s="21" t="s">
        <v>180</v>
      </c>
      <c r="D106" s="21" t="s">
        <v>197</v>
      </c>
      <c r="E106" s="21" t="s">
        <v>141</v>
      </c>
      <c r="F106" s="22">
        <v>137179</v>
      </c>
      <c r="G106" s="21" t="s">
        <v>142</v>
      </c>
      <c r="H106" s="23">
        <v>1000</v>
      </c>
      <c r="I106" s="21" t="s">
        <v>143</v>
      </c>
      <c r="J106" s="21" t="s">
        <v>198</v>
      </c>
      <c r="K106" s="21" t="s">
        <v>194</v>
      </c>
      <c r="L106" s="21" t="s">
        <v>193</v>
      </c>
      <c r="M106" s="23" t="s">
        <v>147</v>
      </c>
      <c r="N106" s="24" t="s">
        <v>194</v>
      </c>
    </row>
    <row r="107" spans="1:14" ht="15" customHeight="1" x14ac:dyDescent="0.3">
      <c r="A107" s="25" t="s">
        <v>137</v>
      </c>
      <c r="B107" s="25" t="s">
        <v>181</v>
      </c>
      <c r="C107" s="25" t="s">
        <v>182</v>
      </c>
      <c r="D107" s="25" t="s">
        <v>197</v>
      </c>
      <c r="E107" s="25" t="s">
        <v>141</v>
      </c>
      <c r="F107" s="26">
        <v>45231</v>
      </c>
      <c r="G107" s="25" t="s">
        <v>142</v>
      </c>
      <c r="H107" s="27">
        <v>1000</v>
      </c>
      <c r="I107" s="25" t="s">
        <v>143</v>
      </c>
      <c r="J107" s="25" t="s">
        <v>198</v>
      </c>
      <c r="K107" s="25" t="s">
        <v>194</v>
      </c>
      <c r="L107" s="25" t="s">
        <v>193</v>
      </c>
      <c r="M107" s="27" t="s">
        <v>147</v>
      </c>
      <c r="N107" s="28" t="s">
        <v>194</v>
      </c>
    </row>
    <row r="108" spans="1:14" ht="15" customHeight="1" x14ac:dyDescent="0.3">
      <c r="A108" s="21" t="s">
        <v>137</v>
      </c>
      <c r="B108" s="21" t="s">
        <v>183</v>
      </c>
      <c r="C108" s="21" t="s">
        <v>184</v>
      </c>
      <c r="D108" s="21" t="s">
        <v>197</v>
      </c>
      <c r="E108" s="21" t="s">
        <v>141</v>
      </c>
      <c r="F108" s="22">
        <v>182410</v>
      </c>
      <c r="G108" s="21" t="s">
        <v>142</v>
      </c>
      <c r="H108" s="23">
        <v>1000</v>
      </c>
      <c r="I108" s="21" t="s">
        <v>143</v>
      </c>
      <c r="J108" s="21" t="s">
        <v>198</v>
      </c>
      <c r="K108" s="21" t="s">
        <v>194</v>
      </c>
      <c r="L108" s="21" t="s">
        <v>193</v>
      </c>
      <c r="M108" s="23" t="s">
        <v>147</v>
      </c>
      <c r="N108" s="24" t="s">
        <v>194</v>
      </c>
    </row>
    <row r="109" spans="1:14" ht="15" customHeight="1" x14ac:dyDescent="0.3">
      <c r="A109" s="25" t="s">
        <v>137</v>
      </c>
      <c r="B109" s="25" t="s">
        <v>185</v>
      </c>
      <c r="C109" s="25" t="s">
        <v>186</v>
      </c>
      <c r="D109" s="25" t="s">
        <v>197</v>
      </c>
      <c r="E109" s="25" t="s">
        <v>141</v>
      </c>
      <c r="F109" s="26">
        <v>-231655</v>
      </c>
      <c r="G109" s="25" t="s">
        <v>142</v>
      </c>
      <c r="H109" s="27">
        <v>1000</v>
      </c>
      <c r="I109" s="25" t="s">
        <v>143</v>
      </c>
      <c r="J109" s="25" t="s">
        <v>198</v>
      </c>
      <c r="K109" s="25" t="s">
        <v>194</v>
      </c>
      <c r="L109" s="25" t="s">
        <v>193</v>
      </c>
      <c r="M109" s="27" t="s">
        <v>147</v>
      </c>
      <c r="N109" s="28" t="s">
        <v>194</v>
      </c>
    </row>
    <row r="110" spans="1:14" ht="15" customHeight="1" x14ac:dyDescent="0.3">
      <c r="A110" s="21" t="s">
        <v>137</v>
      </c>
      <c r="B110" s="21" t="s">
        <v>187</v>
      </c>
      <c r="C110" s="21" t="s">
        <v>188</v>
      </c>
      <c r="D110" s="21" t="s">
        <v>197</v>
      </c>
      <c r="E110" s="21" t="s">
        <v>141</v>
      </c>
      <c r="F110" s="22">
        <v>414065</v>
      </c>
      <c r="G110" s="21" t="s">
        <v>142</v>
      </c>
      <c r="H110" s="23">
        <v>1000</v>
      </c>
      <c r="I110" s="21" t="s">
        <v>143</v>
      </c>
      <c r="J110" s="21" t="s">
        <v>198</v>
      </c>
      <c r="K110" s="21" t="s">
        <v>194</v>
      </c>
      <c r="L110" s="21" t="s">
        <v>193</v>
      </c>
      <c r="M110" s="23" t="s">
        <v>147</v>
      </c>
      <c r="N110" s="24" t="s">
        <v>194</v>
      </c>
    </row>
    <row r="111" spans="1:14" ht="15" customHeight="1" x14ac:dyDescent="0.3">
      <c r="A111" s="25" t="s">
        <v>137</v>
      </c>
      <c r="B111" s="25" t="s">
        <v>138</v>
      </c>
      <c r="C111" s="25" t="s">
        <v>139</v>
      </c>
      <c r="D111" s="25" t="s">
        <v>199</v>
      </c>
      <c r="E111" s="25" t="s">
        <v>200</v>
      </c>
      <c r="F111" s="26">
        <v>229491</v>
      </c>
      <c r="G111" s="25" t="s">
        <v>142</v>
      </c>
      <c r="H111" s="27">
        <v>1000</v>
      </c>
      <c r="I111" s="25" t="s">
        <v>201</v>
      </c>
      <c r="J111" s="25" t="s">
        <v>202</v>
      </c>
      <c r="K111" s="25" t="s">
        <v>145</v>
      </c>
      <c r="L111" s="25" t="s">
        <v>203</v>
      </c>
      <c r="M111" s="27" t="s">
        <v>147</v>
      </c>
      <c r="N111" s="28" t="s">
        <v>145</v>
      </c>
    </row>
    <row r="112" spans="1:14" ht="15" customHeight="1" x14ac:dyDescent="0.3">
      <c r="A112" s="21" t="s">
        <v>137</v>
      </c>
      <c r="B112" s="21" t="s">
        <v>148</v>
      </c>
      <c r="C112" s="21" t="s">
        <v>149</v>
      </c>
      <c r="D112" s="21" t="s">
        <v>199</v>
      </c>
      <c r="E112" s="21" t="s">
        <v>200</v>
      </c>
      <c r="F112" s="22">
        <v>21019</v>
      </c>
      <c r="G112" s="21" t="s">
        <v>142</v>
      </c>
      <c r="H112" s="23">
        <v>1000</v>
      </c>
      <c r="I112" s="21" t="s">
        <v>201</v>
      </c>
      <c r="J112" s="21" t="s">
        <v>202</v>
      </c>
      <c r="K112" s="21" t="s">
        <v>145</v>
      </c>
      <c r="L112" s="21" t="s">
        <v>203</v>
      </c>
      <c r="M112" s="23" t="s">
        <v>147</v>
      </c>
      <c r="N112" s="24" t="s">
        <v>145</v>
      </c>
    </row>
    <row r="113" spans="1:14" ht="15" customHeight="1" x14ac:dyDescent="0.3">
      <c r="A113" s="25" t="s">
        <v>137</v>
      </c>
      <c r="B113" s="25" t="s">
        <v>150</v>
      </c>
      <c r="C113" s="25" t="s">
        <v>151</v>
      </c>
      <c r="D113" s="25" t="s">
        <v>199</v>
      </c>
      <c r="E113" s="25" t="s">
        <v>200</v>
      </c>
      <c r="F113" s="26">
        <v>9649</v>
      </c>
      <c r="G113" s="25" t="s">
        <v>142</v>
      </c>
      <c r="H113" s="27">
        <v>1000</v>
      </c>
      <c r="I113" s="25" t="s">
        <v>201</v>
      </c>
      <c r="J113" s="25" t="s">
        <v>202</v>
      </c>
      <c r="K113" s="25" t="s">
        <v>145</v>
      </c>
      <c r="L113" s="25" t="s">
        <v>203</v>
      </c>
      <c r="M113" s="27" t="s">
        <v>147</v>
      </c>
      <c r="N113" s="28" t="s">
        <v>145</v>
      </c>
    </row>
    <row r="114" spans="1:14" ht="15" customHeight="1" x14ac:dyDescent="0.3">
      <c r="A114" s="21" t="s">
        <v>137</v>
      </c>
      <c r="B114" s="21" t="s">
        <v>152</v>
      </c>
      <c r="C114" s="21" t="s">
        <v>153</v>
      </c>
      <c r="D114" s="21" t="s">
        <v>199</v>
      </c>
      <c r="E114" s="21" t="s">
        <v>200</v>
      </c>
      <c r="F114" s="22">
        <v>11096</v>
      </c>
      <c r="G114" s="21" t="s">
        <v>142</v>
      </c>
      <c r="H114" s="23">
        <v>1000</v>
      </c>
      <c r="I114" s="21" t="s">
        <v>201</v>
      </c>
      <c r="J114" s="21" t="s">
        <v>202</v>
      </c>
      <c r="K114" s="21" t="s">
        <v>145</v>
      </c>
      <c r="L114" s="21" t="s">
        <v>203</v>
      </c>
      <c r="M114" s="23" t="s">
        <v>147</v>
      </c>
      <c r="N114" s="24" t="s">
        <v>145</v>
      </c>
    </row>
    <row r="115" spans="1:14" ht="15" customHeight="1" x14ac:dyDescent="0.3">
      <c r="A115" s="25" t="s">
        <v>137</v>
      </c>
      <c r="B115" s="25" t="s">
        <v>154</v>
      </c>
      <c r="C115" s="25" t="s">
        <v>155</v>
      </c>
      <c r="D115" s="25" t="s">
        <v>199</v>
      </c>
      <c r="E115" s="25" t="s">
        <v>200</v>
      </c>
      <c r="F115" s="26">
        <v>458</v>
      </c>
      <c r="G115" s="25" t="s">
        <v>142</v>
      </c>
      <c r="H115" s="27">
        <v>1000</v>
      </c>
      <c r="I115" s="25" t="s">
        <v>201</v>
      </c>
      <c r="J115" s="25" t="s">
        <v>202</v>
      </c>
      <c r="K115" s="25" t="s">
        <v>145</v>
      </c>
      <c r="L115" s="25" t="s">
        <v>203</v>
      </c>
      <c r="M115" s="27" t="s">
        <v>147</v>
      </c>
      <c r="N115" s="28" t="s">
        <v>145</v>
      </c>
    </row>
    <row r="116" spans="1:14" ht="15" customHeight="1" x14ac:dyDescent="0.3">
      <c r="A116" s="21" t="s">
        <v>137</v>
      </c>
      <c r="B116" s="21" t="s">
        <v>156</v>
      </c>
      <c r="C116" s="21" t="s">
        <v>157</v>
      </c>
      <c r="D116" s="21" t="s">
        <v>199</v>
      </c>
      <c r="E116" s="21" t="s">
        <v>200</v>
      </c>
      <c r="F116" s="22">
        <v>271713</v>
      </c>
      <c r="G116" s="21" t="s">
        <v>142</v>
      </c>
      <c r="H116" s="23">
        <v>1000</v>
      </c>
      <c r="I116" s="21" t="s">
        <v>201</v>
      </c>
      <c r="J116" s="21" t="s">
        <v>202</v>
      </c>
      <c r="K116" s="21" t="s">
        <v>145</v>
      </c>
      <c r="L116" s="21" t="s">
        <v>203</v>
      </c>
      <c r="M116" s="23" t="s">
        <v>147</v>
      </c>
      <c r="N116" s="24" t="s">
        <v>145</v>
      </c>
    </row>
    <row r="117" spans="1:14" ht="15" customHeight="1" x14ac:dyDescent="0.3">
      <c r="A117" s="25" t="s">
        <v>137</v>
      </c>
      <c r="B117" s="25" t="s">
        <v>158</v>
      </c>
      <c r="C117" s="25" t="s">
        <v>159</v>
      </c>
      <c r="D117" s="25" t="s">
        <v>199</v>
      </c>
      <c r="E117" s="25" t="s">
        <v>200</v>
      </c>
      <c r="F117" s="26">
        <v>74802</v>
      </c>
      <c r="G117" s="25" t="s">
        <v>142</v>
      </c>
      <c r="H117" s="27">
        <v>1000</v>
      </c>
      <c r="I117" s="25" t="s">
        <v>201</v>
      </c>
      <c r="J117" s="25" t="s">
        <v>202</v>
      </c>
      <c r="K117" s="25" t="s">
        <v>204</v>
      </c>
      <c r="L117" s="25" t="s">
        <v>203</v>
      </c>
      <c r="M117" s="27" t="s">
        <v>147</v>
      </c>
      <c r="N117" s="28" t="s">
        <v>204</v>
      </c>
    </row>
    <row r="118" spans="1:14" ht="15" customHeight="1" x14ac:dyDescent="0.3">
      <c r="A118" s="21" t="s">
        <v>137</v>
      </c>
      <c r="B118" s="21" t="s">
        <v>161</v>
      </c>
      <c r="C118" s="21" t="s">
        <v>162</v>
      </c>
      <c r="D118" s="21" t="s">
        <v>199</v>
      </c>
      <c r="E118" s="21" t="s">
        <v>200</v>
      </c>
      <c r="F118" s="22">
        <v>196911</v>
      </c>
      <c r="G118" s="21" t="s">
        <v>142</v>
      </c>
      <c r="H118" s="23">
        <v>1000</v>
      </c>
      <c r="I118" s="21" t="s">
        <v>201</v>
      </c>
      <c r="J118" s="21" t="s">
        <v>202</v>
      </c>
      <c r="K118" s="21" t="s">
        <v>204</v>
      </c>
      <c r="L118" s="21" t="s">
        <v>203</v>
      </c>
      <c r="M118" s="23" t="s">
        <v>147</v>
      </c>
      <c r="N118" s="24" t="s">
        <v>204</v>
      </c>
    </row>
    <row r="119" spans="1:14" ht="15" customHeight="1" x14ac:dyDescent="0.3">
      <c r="A119" s="25" t="s">
        <v>137</v>
      </c>
      <c r="B119" s="25" t="s">
        <v>163</v>
      </c>
      <c r="C119" s="25" t="s">
        <v>164</v>
      </c>
      <c r="D119" s="25" t="s">
        <v>199</v>
      </c>
      <c r="E119" s="25" t="s">
        <v>200</v>
      </c>
      <c r="F119" s="26">
        <v>82707</v>
      </c>
      <c r="G119" s="25" t="s">
        <v>142</v>
      </c>
      <c r="H119" s="27">
        <v>1000</v>
      </c>
      <c r="I119" s="25" t="s">
        <v>201</v>
      </c>
      <c r="J119" s="25" t="s">
        <v>202</v>
      </c>
      <c r="K119" s="25" t="s">
        <v>204</v>
      </c>
      <c r="L119" s="25" t="s">
        <v>203</v>
      </c>
      <c r="M119" s="27" t="s">
        <v>147</v>
      </c>
      <c r="N119" s="28" t="s">
        <v>204</v>
      </c>
    </row>
    <row r="120" spans="1:14" ht="15" customHeight="1" x14ac:dyDescent="0.3">
      <c r="A120" s="21" t="s">
        <v>137</v>
      </c>
      <c r="B120" s="21" t="s">
        <v>165</v>
      </c>
      <c r="C120" s="21" t="s">
        <v>166</v>
      </c>
      <c r="D120" s="21" t="s">
        <v>199</v>
      </c>
      <c r="E120" s="21" t="s">
        <v>200</v>
      </c>
      <c r="F120" s="22">
        <v>35081</v>
      </c>
      <c r="G120" s="21" t="s">
        <v>142</v>
      </c>
      <c r="H120" s="23">
        <v>1000</v>
      </c>
      <c r="I120" s="21" t="s">
        <v>201</v>
      </c>
      <c r="J120" s="21" t="s">
        <v>202</v>
      </c>
      <c r="K120" s="21" t="s">
        <v>204</v>
      </c>
      <c r="L120" s="21" t="s">
        <v>203</v>
      </c>
      <c r="M120" s="23" t="s">
        <v>147</v>
      </c>
      <c r="N120" s="24" t="s">
        <v>204</v>
      </c>
    </row>
    <row r="121" spans="1:14" ht="15" customHeight="1" x14ac:dyDescent="0.3">
      <c r="A121" s="25" t="s">
        <v>137</v>
      </c>
      <c r="B121" s="25" t="s">
        <v>167</v>
      </c>
      <c r="C121" s="25" t="s">
        <v>168</v>
      </c>
      <c r="D121" s="25" t="s">
        <v>199</v>
      </c>
      <c r="E121" s="25" t="s">
        <v>200</v>
      </c>
      <c r="F121" s="26">
        <v>43964</v>
      </c>
      <c r="G121" s="25" t="s">
        <v>142</v>
      </c>
      <c r="H121" s="27">
        <v>1000</v>
      </c>
      <c r="I121" s="25" t="s">
        <v>201</v>
      </c>
      <c r="J121" s="25" t="s">
        <v>202</v>
      </c>
      <c r="K121" s="25" t="s">
        <v>204</v>
      </c>
      <c r="L121" s="25" t="s">
        <v>203</v>
      </c>
      <c r="M121" s="27" t="s">
        <v>147</v>
      </c>
      <c r="N121" s="28" t="s">
        <v>204</v>
      </c>
    </row>
    <row r="122" spans="1:14" ht="15" customHeight="1" x14ac:dyDescent="0.3">
      <c r="A122" s="21" t="s">
        <v>137</v>
      </c>
      <c r="B122" s="21" t="s">
        <v>169</v>
      </c>
      <c r="C122" s="21" t="s">
        <v>170</v>
      </c>
      <c r="D122" s="21" t="s">
        <v>199</v>
      </c>
      <c r="E122" s="21" t="s">
        <v>200</v>
      </c>
      <c r="F122" s="22">
        <v>161752</v>
      </c>
      <c r="G122" s="21" t="s">
        <v>142</v>
      </c>
      <c r="H122" s="23">
        <v>1000</v>
      </c>
      <c r="I122" s="21" t="s">
        <v>201</v>
      </c>
      <c r="J122" s="21" t="s">
        <v>202</v>
      </c>
      <c r="K122" s="21" t="s">
        <v>204</v>
      </c>
      <c r="L122" s="21" t="s">
        <v>203</v>
      </c>
      <c r="M122" s="23" t="s">
        <v>147</v>
      </c>
      <c r="N122" s="24" t="s">
        <v>204</v>
      </c>
    </row>
    <row r="123" spans="1:14" ht="15" customHeight="1" x14ac:dyDescent="0.3">
      <c r="A123" s="25" t="s">
        <v>137</v>
      </c>
      <c r="B123" s="25" t="s">
        <v>171</v>
      </c>
      <c r="C123" s="25" t="s">
        <v>172</v>
      </c>
      <c r="D123" s="25" t="s">
        <v>199</v>
      </c>
      <c r="E123" s="25" t="s">
        <v>200</v>
      </c>
      <c r="F123" s="26">
        <v>35159</v>
      </c>
      <c r="G123" s="25" t="s">
        <v>142</v>
      </c>
      <c r="H123" s="27">
        <v>1000</v>
      </c>
      <c r="I123" s="25" t="s">
        <v>201</v>
      </c>
      <c r="J123" s="25" t="s">
        <v>202</v>
      </c>
      <c r="K123" s="25" t="s">
        <v>204</v>
      </c>
      <c r="L123" s="25" t="s">
        <v>203</v>
      </c>
      <c r="M123" s="27" t="s">
        <v>147</v>
      </c>
      <c r="N123" s="28" t="s">
        <v>204</v>
      </c>
    </row>
    <row r="124" spans="1:14" ht="15" customHeight="1" x14ac:dyDescent="0.3">
      <c r="A124" s="21" t="s">
        <v>137</v>
      </c>
      <c r="B124" s="21" t="s">
        <v>177</v>
      </c>
      <c r="C124" s="21" t="s">
        <v>178</v>
      </c>
      <c r="D124" s="21" t="s">
        <v>199</v>
      </c>
      <c r="E124" s="21" t="s">
        <v>200</v>
      </c>
      <c r="F124" s="22">
        <v>-503</v>
      </c>
      <c r="G124" s="21" t="s">
        <v>142</v>
      </c>
      <c r="H124" s="23">
        <v>1000</v>
      </c>
      <c r="I124" s="21" t="s">
        <v>201</v>
      </c>
      <c r="J124" s="21" t="s">
        <v>202</v>
      </c>
      <c r="K124" s="21" t="s">
        <v>204</v>
      </c>
      <c r="L124" s="21" t="s">
        <v>203</v>
      </c>
      <c r="M124" s="23" t="s">
        <v>147</v>
      </c>
      <c r="N124" s="24" t="s">
        <v>204</v>
      </c>
    </row>
    <row r="125" spans="1:14" ht="15" customHeight="1" x14ac:dyDescent="0.3">
      <c r="A125" s="25" t="s">
        <v>137</v>
      </c>
      <c r="B125" s="25" t="s">
        <v>179</v>
      </c>
      <c r="C125" s="25" t="s">
        <v>180</v>
      </c>
      <c r="D125" s="25" t="s">
        <v>199</v>
      </c>
      <c r="E125" s="25" t="s">
        <v>200</v>
      </c>
      <c r="F125" s="26">
        <v>34656</v>
      </c>
      <c r="G125" s="25" t="s">
        <v>142</v>
      </c>
      <c r="H125" s="27">
        <v>1000</v>
      </c>
      <c r="I125" s="25" t="s">
        <v>201</v>
      </c>
      <c r="J125" s="25" t="s">
        <v>202</v>
      </c>
      <c r="K125" s="25" t="s">
        <v>204</v>
      </c>
      <c r="L125" s="25" t="s">
        <v>203</v>
      </c>
      <c r="M125" s="27" t="s">
        <v>147</v>
      </c>
      <c r="N125" s="28" t="s">
        <v>204</v>
      </c>
    </row>
    <row r="126" spans="1:14" ht="15" customHeight="1" x14ac:dyDescent="0.3">
      <c r="A126" s="21" t="s">
        <v>137</v>
      </c>
      <c r="B126" s="21" t="s">
        <v>181</v>
      </c>
      <c r="C126" s="21" t="s">
        <v>182</v>
      </c>
      <c r="D126" s="21" t="s">
        <v>199</v>
      </c>
      <c r="E126" s="21" t="s">
        <v>200</v>
      </c>
      <c r="F126" s="22">
        <v>11793</v>
      </c>
      <c r="G126" s="21" t="s">
        <v>142</v>
      </c>
      <c r="H126" s="23">
        <v>1000</v>
      </c>
      <c r="I126" s="21" t="s">
        <v>201</v>
      </c>
      <c r="J126" s="21" t="s">
        <v>202</v>
      </c>
      <c r="K126" s="21" t="s">
        <v>204</v>
      </c>
      <c r="L126" s="21" t="s">
        <v>203</v>
      </c>
      <c r="M126" s="23" t="s">
        <v>147</v>
      </c>
      <c r="N126" s="24" t="s">
        <v>204</v>
      </c>
    </row>
    <row r="127" spans="1:14" ht="15" customHeight="1" x14ac:dyDescent="0.3">
      <c r="A127" s="25" t="s">
        <v>137</v>
      </c>
      <c r="B127" s="25" t="s">
        <v>183</v>
      </c>
      <c r="C127" s="25" t="s">
        <v>184</v>
      </c>
      <c r="D127" s="25" t="s">
        <v>199</v>
      </c>
      <c r="E127" s="25" t="s">
        <v>200</v>
      </c>
      <c r="F127" s="26">
        <v>46449</v>
      </c>
      <c r="G127" s="25" t="s">
        <v>142</v>
      </c>
      <c r="H127" s="27">
        <v>1000</v>
      </c>
      <c r="I127" s="25" t="s">
        <v>201</v>
      </c>
      <c r="J127" s="25" t="s">
        <v>202</v>
      </c>
      <c r="K127" s="25" t="s">
        <v>204</v>
      </c>
      <c r="L127" s="25" t="s">
        <v>203</v>
      </c>
      <c r="M127" s="27" t="s">
        <v>147</v>
      </c>
      <c r="N127" s="28" t="s">
        <v>204</v>
      </c>
    </row>
    <row r="128" spans="1:14" ht="15" customHeight="1" x14ac:dyDescent="0.3">
      <c r="A128" s="21" t="s">
        <v>137</v>
      </c>
      <c r="B128" s="21" t="s">
        <v>185</v>
      </c>
      <c r="C128" s="21" t="s">
        <v>186</v>
      </c>
      <c r="D128" s="21" t="s">
        <v>199</v>
      </c>
      <c r="E128" s="21" t="s">
        <v>200</v>
      </c>
      <c r="F128" s="22">
        <v>-245746</v>
      </c>
      <c r="G128" s="21" t="s">
        <v>142</v>
      </c>
      <c r="H128" s="23">
        <v>1000</v>
      </c>
      <c r="I128" s="21" t="s">
        <v>201</v>
      </c>
      <c r="J128" s="21" t="s">
        <v>202</v>
      </c>
      <c r="K128" s="21" t="s">
        <v>204</v>
      </c>
      <c r="L128" s="21" t="s">
        <v>203</v>
      </c>
      <c r="M128" s="23" t="s">
        <v>147</v>
      </c>
      <c r="N128" s="24" t="s">
        <v>204</v>
      </c>
    </row>
    <row r="129" spans="1:14" ht="15" customHeight="1" x14ac:dyDescent="0.3">
      <c r="A129" s="25" t="s">
        <v>137</v>
      </c>
      <c r="B129" s="25" t="s">
        <v>187</v>
      </c>
      <c r="C129" s="25" t="s">
        <v>188</v>
      </c>
      <c r="D129" s="25" t="s">
        <v>199</v>
      </c>
      <c r="E129" s="25" t="s">
        <v>200</v>
      </c>
      <c r="F129" s="26">
        <v>292195</v>
      </c>
      <c r="G129" s="25" t="s">
        <v>142</v>
      </c>
      <c r="H129" s="27">
        <v>1000</v>
      </c>
      <c r="I129" s="25" t="s">
        <v>201</v>
      </c>
      <c r="J129" s="25" t="s">
        <v>202</v>
      </c>
      <c r="K129" s="25" t="s">
        <v>204</v>
      </c>
      <c r="L129" s="25" t="s">
        <v>203</v>
      </c>
      <c r="M129" s="27" t="s">
        <v>147</v>
      </c>
      <c r="N129" s="28" t="s">
        <v>204</v>
      </c>
    </row>
    <row r="130" spans="1:14" ht="15" customHeight="1" x14ac:dyDescent="0.3">
      <c r="A130" s="21" t="s">
        <v>137</v>
      </c>
      <c r="B130" s="21" t="s">
        <v>138</v>
      </c>
      <c r="C130" s="21" t="s">
        <v>139</v>
      </c>
      <c r="D130" s="21" t="s">
        <v>205</v>
      </c>
      <c r="E130" s="21" t="s">
        <v>200</v>
      </c>
      <c r="F130" s="22">
        <v>250908</v>
      </c>
      <c r="G130" s="21" t="s">
        <v>142</v>
      </c>
      <c r="H130" s="23">
        <v>1000</v>
      </c>
      <c r="I130" s="21" t="s">
        <v>201</v>
      </c>
      <c r="J130" s="21" t="s">
        <v>206</v>
      </c>
      <c r="K130" s="21" t="s">
        <v>145</v>
      </c>
      <c r="L130" s="21" t="s">
        <v>207</v>
      </c>
      <c r="M130" s="23" t="s">
        <v>147</v>
      </c>
      <c r="N130" s="24" t="s">
        <v>145</v>
      </c>
    </row>
    <row r="131" spans="1:14" ht="15" customHeight="1" x14ac:dyDescent="0.3">
      <c r="A131" s="25" t="s">
        <v>137</v>
      </c>
      <c r="B131" s="25" t="s">
        <v>148</v>
      </c>
      <c r="C131" s="25" t="s">
        <v>149</v>
      </c>
      <c r="D131" s="25" t="s">
        <v>205</v>
      </c>
      <c r="E131" s="25" t="s">
        <v>200</v>
      </c>
      <c r="F131" s="26">
        <v>20614</v>
      </c>
      <c r="G131" s="25" t="s">
        <v>142</v>
      </c>
      <c r="H131" s="27">
        <v>1000</v>
      </c>
      <c r="I131" s="25" t="s">
        <v>201</v>
      </c>
      <c r="J131" s="25" t="s">
        <v>206</v>
      </c>
      <c r="K131" s="25" t="s">
        <v>145</v>
      </c>
      <c r="L131" s="25" t="s">
        <v>207</v>
      </c>
      <c r="M131" s="27" t="s">
        <v>147</v>
      </c>
      <c r="N131" s="28" t="s">
        <v>145</v>
      </c>
    </row>
    <row r="132" spans="1:14" ht="15" customHeight="1" x14ac:dyDescent="0.3">
      <c r="A132" s="21" t="s">
        <v>137</v>
      </c>
      <c r="B132" s="21" t="s">
        <v>150</v>
      </c>
      <c r="C132" s="21" t="s">
        <v>151</v>
      </c>
      <c r="D132" s="21" t="s">
        <v>205</v>
      </c>
      <c r="E132" s="21" t="s">
        <v>200</v>
      </c>
      <c r="F132" s="22">
        <v>11317</v>
      </c>
      <c r="G132" s="21" t="s">
        <v>142</v>
      </c>
      <c r="H132" s="23">
        <v>1000</v>
      </c>
      <c r="I132" s="21" t="s">
        <v>201</v>
      </c>
      <c r="J132" s="21" t="s">
        <v>206</v>
      </c>
      <c r="K132" s="21" t="s">
        <v>145</v>
      </c>
      <c r="L132" s="21" t="s">
        <v>207</v>
      </c>
      <c r="M132" s="23" t="s">
        <v>147</v>
      </c>
      <c r="N132" s="24" t="s">
        <v>145</v>
      </c>
    </row>
    <row r="133" spans="1:14" ht="15" customHeight="1" x14ac:dyDescent="0.3">
      <c r="A133" s="25" t="s">
        <v>137</v>
      </c>
      <c r="B133" s="25" t="s">
        <v>152</v>
      </c>
      <c r="C133" s="25" t="s">
        <v>153</v>
      </c>
      <c r="D133" s="25" t="s">
        <v>205</v>
      </c>
      <c r="E133" s="25" t="s">
        <v>200</v>
      </c>
      <c r="F133" s="26">
        <v>8446</v>
      </c>
      <c r="G133" s="25" t="s">
        <v>142</v>
      </c>
      <c r="H133" s="27">
        <v>1000</v>
      </c>
      <c r="I133" s="25" t="s">
        <v>201</v>
      </c>
      <c r="J133" s="25" t="s">
        <v>206</v>
      </c>
      <c r="K133" s="25" t="s">
        <v>145</v>
      </c>
      <c r="L133" s="25" t="s">
        <v>207</v>
      </c>
      <c r="M133" s="27" t="s">
        <v>147</v>
      </c>
      <c r="N133" s="28" t="s">
        <v>145</v>
      </c>
    </row>
    <row r="134" spans="1:14" ht="15" customHeight="1" x14ac:dyDescent="0.3">
      <c r="A134" s="21" t="s">
        <v>137</v>
      </c>
      <c r="B134" s="21" t="s">
        <v>154</v>
      </c>
      <c r="C134" s="21" t="s">
        <v>155</v>
      </c>
      <c r="D134" s="21" t="s">
        <v>205</v>
      </c>
      <c r="E134" s="21" t="s">
        <v>200</v>
      </c>
      <c r="F134" s="22">
        <v>682</v>
      </c>
      <c r="G134" s="21" t="s">
        <v>142</v>
      </c>
      <c r="H134" s="23">
        <v>1000</v>
      </c>
      <c r="I134" s="21" t="s">
        <v>201</v>
      </c>
      <c r="J134" s="21" t="s">
        <v>206</v>
      </c>
      <c r="K134" s="21" t="s">
        <v>145</v>
      </c>
      <c r="L134" s="21" t="s">
        <v>207</v>
      </c>
      <c r="M134" s="23" t="s">
        <v>147</v>
      </c>
      <c r="N134" s="24" t="s">
        <v>145</v>
      </c>
    </row>
    <row r="135" spans="1:14" ht="15" customHeight="1" x14ac:dyDescent="0.3">
      <c r="A135" s="25" t="s">
        <v>137</v>
      </c>
      <c r="B135" s="25" t="s">
        <v>156</v>
      </c>
      <c r="C135" s="25" t="s">
        <v>157</v>
      </c>
      <c r="D135" s="25" t="s">
        <v>205</v>
      </c>
      <c r="E135" s="25" t="s">
        <v>200</v>
      </c>
      <c r="F135" s="26">
        <v>291967</v>
      </c>
      <c r="G135" s="25" t="s">
        <v>142</v>
      </c>
      <c r="H135" s="27">
        <v>1000</v>
      </c>
      <c r="I135" s="25" t="s">
        <v>201</v>
      </c>
      <c r="J135" s="25" t="s">
        <v>206</v>
      </c>
      <c r="K135" s="25" t="s">
        <v>145</v>
      </c>
      <c r="L135" s="25" t="s">
        <v>207</v>
      </c>
      <c r="M135" s="27" t="s">
        <v>147</v>
      </c>
      <c r="N135" s="28" t="s">
        <v>145</v>
      </c>
    </row>
    <row r="136" spans="1:14" ht="15" customHeight="1" x14ac:dyDescent="0.3">
      <c r="A136" s="21" t="s">
        <v>137</v>
      </c>
      <c r="B136" s="21" t="s">
        <v>158</v>
      </c>
      <c r="C136" s="21" t="s">
        <v>159</v>
      </c>
      <c r="D136" s="21" t="s">
        <v>205</v>
      </c>
      <c r="E136" s="21" t="s">
        <v>200</v>
      </c>
      <c r="F136" s="22">
        <v>78871</v>
      </c>
      <c r="G136" s="21" t="s">
        <v>142</v>
      </c>
      <c r="H136" s="23">
        <v>1000</v>
      </c>
      <c r="I136" s="21" t="s">
        <v>201</v>
      </c>
      <c r="J136" s="21" t="s">
        <v>206</v>
      </c>
      <c r="K136" s="21" t="s">
        <v>204</v>
      </c>
      <c r="L136" s="21" t="s">
        <v>207</v>
      </c>
      <c r="M136" s="23" t="s">
        <v>147</v>
      </c>
      <c r="N136" s="24" t="s">
        <v>204</v>
      </c>
    </row>
    <row r="137" spans="1:14" ht="15" customHeight="1" x14ac:dyDescent="0.3">
      <c r="A137" s="25" t="s">
        <v>137</v>
      </c>
      <c r="B137" s="25" t="s">
        <v>161</v>
      </c>
      <c r="C137" s="25" t="s">
        <v>162</v>
      </c>
      <c r="D137" s="25" t="s">
        <v>205</v>
      </c>
      <c r="E137" s="25" t="s">
        <v>200</v>
      </c>
      <c r="F137" s="26">
        <v>213096</v>
      </c>
      <c r="G137" s="25" t="s">
        <v>142</v>
      </c>
      <c r="H137" s="27">
        <v>1000</v>
      </c>
      <c r="I137" s="25" t="s">
        <v>201</v>
      </c>
      <c r="J137" s="25" t="s">
        <v>206</v>
      </c>
      <c r="K137" s="25" t="s">
        <v>204</v>
      </c>
      <c r="L137" s="25" t="s">
        <v>207</v>
      </c>
      <c r="M137" s="27" t="s">
        <v>147</v>
      </c>
      <c r="N137" s="28" t="s">
        <v>204</v>
      </c>
    </row>
    <row r="138" spans="1:14" ht="15" customHeight="1" x14ac:dyDescent="0.3">
      <c r="A138" s="21" t="s">
        <v>137</v>
      </c>
      <c r="B138" s="21" t="s">
        <v>163</v>
      </c>
      <c r="C138" s="21" t="s">
        <v>164</v>
      </c>
      <c r="D138" s="21" t="s">
        <v>205</v>
      </c>
      <c r="E138" s="21" t="s">
        <v>200</v>
      </c>
      <c r="F138" s="22">
        <v>82974</v>
      </c>
      <c r="G138" s="21" t="s">
        <v>142</v>
      </c>
      <c r="H138" s="23">
        <v>1000</v>
      </c>
      <c r="I138" s="21" t="s">
        <v>201</v>
      </c>
      <c r="J138" s="21" t="s">
        <v>206</v>
      </c>
      <c r="K138" s="21" t="s">
        <v>204</v>
      </c>
      <c r="L138" s="21" t="s">
        <v>207</v>
      </c>
      <c r="M138" s="23" t="s">
        <v>147</v>
      </c>
      <c r="N138" s="24" t="s">
        <v>204</v>
      </c>
    </row>
    <row r="139" spans="1:14" ht="15" customHeight="1" x14ac:dyDescent="0.3">
      <c r="A139" s="25" t="s">
        <v>137</v>
      </c>
      <c r="B139" s="25" t="s">
        <v>165</v>
      </c>
      <c r="C139" s="25" t="s">
        <v>166</v>
      </c>
      <c r="D139" s="25" t="s">
        <v>205</v>
      </c>
      <c r="E139" s="25" t="s">
        <v>200</v>
      </c>
      <c r="F139" s="26">
        <v>39249</v>
      </c>
      <c r="G139" s="25" t="s">
        <v>142</v>
      </c>
      <c r="H139" s="27">
        <v>1000</v>
      </c>
      <c r="I139" s="25" t="s">
        <v>201</v>
      </c>
      <c r="J139" s="25" t="s">
        <v>206</v>
      </c>
      <c r="K139" s="25" t="s">
        <v>204</v>
      </c>
      <c r="L139" s="25" t="s">
        <v>207</v>
      </c>
      <c r="M139" s="27" t="s">
        <v>147</v>
      </c>
      <c r="N139" s="28" t="s">
        <v>204</v>
      </c>
    </row>
    <row r="140" spans="1:14" ht="15" customHeight="1" x14ac:dyDescent="0.3">
      <c r="A140" s="21" t="s">
        <v>137</v>
      </c>
      <c r="B140" s="21" t="s">
        <v>167</v>
      </c>
      <c r="C140" s="21" t="s">
        <v>168</v>
      </c>
      <c r="D140" s="21" t="s">
        <v>205</v>
      </c>
      <c r="E140" s="21" t="s">
        <v>200</v>
      </c>
      <c r="F140" s="22">
        <v>46346</v>
      </c>
      <c r="G140" s="21" t="s">
        <v>142</v>
      </c>
      <c r="H140" s="23">
        <v>1000</v>
      </c>
      <c r="I140" s="21" t="s">
        <v>201</v>
      </c>
      <c r="J140" s="21" t="s">
        <v>206</v>
      </c>
      <c r="K140" s="21" t="s">
        <v>204</v>
      </c>
      <c r="L140" s="21" t="s">
        <v>207</v>
      </c>
      <c r="M140" s="23" t="s">
        <v>147</v>
      </c>
      <c r="N140" s="24" t="s">
        <v>204</v>
      </c>
    </row>
    <row r="141" spans="1:14" ht="15" customHeight="1" x14ac:dyDescent="0.3">
      <c r="A141" s="25" t="s">
        <v>137</v>
      </c>
      <c r="B141" s="25" t="s">
        <v>169</v>
      </c>
      <c r="C141" s="25" t="s">
        <v>170</v>
      </c>
      <c r="D141" s="25" t="s">
        <v>205</v>
      </c>
      <c r="E141" s="25" t="s">
        <v>200</v>
      </c>
      <c r="F141" s="26">
        <v>168569</v>
      </c>
      <c r="G141" s="25" t="s">
        <v>142</v>
      </c>
      <c r="H141" s="27">
        <v>1000</v>
      </c>
      <c r="I141" s="25" t="s">
        <v>201</v>
      </c>
      <c r="J141" s="25" t="s">
        <v>206</v>
      </c>
      <c r="K141" s="25" t="s">
        <v>204</v>
      </c>
      <c r="L141" s="25" t="s">
        <v>207</v>
      </c>
      <c r="M141" s="27" t="s">
        <v>147</v>
      </c>
      <c r="N141" s="28" t="s">
        <v>204</v>
      </c>
    </row>
    <row r="142" spans="1:14" ht="15" customHeight="1" x14ac:dyDescent="0.3">
      <c r="A142" s="21" t="s">
        <v>137</v>
      </c>
      <c r="B142" s="21" t="s">
        <v>171</v>
      </c>
      <c r="C142" s="21" t="s">
        <v>172</v>
      </c>
      <c r="D142" s="21" t="s">
        <v>205</v>
      </c>
      <c r="E142" s="21" t="s">
        <v>200</v>
      </c>
      <c r="F142" s="22">
        <v>44527</v>
      </c>
      <c r="G142" s="21" t="s">
        <v>142</v>
      </c>
      <c r="H142" s="23">
        <v>1000</v>
      </c>
      <c r="I142" s="21" t="s">
        <v>201</v>
      </c>
      <c r="J142" s="21" t="s">
        <v>206</v>
      </c>
      <c r="K142" s="21" t="s">
        <v>204</v>
      </c>
      <c r="L142" s="21" t="s">
        <v>207</v>
      </c>
      <c r="M142" s="23" t="s">
        <v>147</v>
      </c>
      <c r="N142" s="24" t="s">
        <v>204</v>
      </c>
    </row>
    <row r="143" spans="1:14" ht="15" customHeight="1" x14ac:dyDescent="0.3">
      <c r="A143" s="25" t="s">
        <v>137</v>
      </c>
      <c r="B143" s="25" t="s">
        <v>177</v>
      </c>
      <c r="C143" s="25" t="s">
        <v>178</v>
      </c>
      <c r="D143" s="25" t="s">
        <v>205</v>
      </c>
      <c r="E143" s="25" t="s">
        <v>200</v>
      </c>
      <c r="F143" s="26">
        <v>-786</v>
      </c>
      <c r="G143" s="25" t="s">
        <v>142</v>
      </c>
      <c r="H143" s="27">
        <v>1000</v>
      </c>
      <c r="I143" s="25" t="s">
        <v>201</v>
      </c>
      <c r="J143" s="25" t="s">
        <v>206</v>
      </c>
      <c r="K143" s="25" t="s">
        <v>204</v>
      </c>
      <c r="L143" s="25" t="s">
        <v>207</v>
      </c>
      <c r="M143" s="27" t="s">
        <v>147</v>
      </c>
      <c r="N143" s="28" t="s">
        <v>204</v>
      </c>
    </row>
    <row r="144" spans="1:14" ht="15" customHeight="1" x14ac:dyDescent="0.3">
      <c r="A144" s="21" t="s">
        <v>137</v>
      </c>
      <c r="B144" s="21" t="s">
        <v>179</v>
      </c>
      <c r="C144" s="21" t="s">
        <v>180</v>
      </c>
      <c r="D144" s="21" t="s">
        <v>205</v>
      </c>
      <c r="E144" s="21" t="s">
        <v>200</v>
      </c>
      <c r="F144" s="22">
        <v>43741</v>
      </c>
      <c r="G144" s="21" t="s">
        <v>142</v>
      </c>
      <c r="H144" s="23">
        <v>1000</v>
      </c>
      <c r="I144" s="21" t="s">
        <v>201</v>
      </c>
      <c r="J144" s="21" t="s">
        <v>206</v>
      </c>
      <c r="K144" s="21" t="s">
        <v>204</v>
      </c>
      <c r="L144" s="21" t="s">
        <v>207</v>
      </c>
      <c r="M144" s="23" t="s">
        <v>147</v>
      </c>
      <c r="N144" s="24" t="s">
        <v>204</v>
      </c>
    </row>
    <row r="145" spans="1:14" ht="15" customHeight="1" x14ac:dyDescent="0.3">
      <c r="A145" s="25" t="s">
        <v>137</v>
      </c>
      <c r="B145" s="25" t="s">
        <v>181</v>
      </c>
      <c r="C145" s="25" t="s">
        <v>182</v>
      </c>
      <c r="D145" s="25" t="s">
        <v>205</v>
      </c>
      <c r="E145" s="25" t="s">
        <v>200</v>
      </c>
      <c r="F145" s="26">
        <v>11811</v>
      </c>
      <c r="G145" s="25" t="s">
        <v>142</v>
      </c>
      <c r="H145" s="27">
        <v>1000</v>
      </c>
      <c r="I145" s="25" t="s">
        <v>201</v>
      </c>
      <c r="J145" s="25" t="s">
        <v>206</v>
      </c>
      <c r="K145" s="25" t="s">
        <v>204</v>
      </c>
      <c r="L145" s="25" t="s">
        <v>207</v>
      </c>
      <c r="M145" s="27" t="s">
        <v>147</v>
      </c>
      <c r="N145" s="28" t="s">
        <v>204</v>
      </c>
    </row>
    <row r="146" spans="1:14" ht="15" customHeight="1" x14ac:dyDescent="0.3">
      <c r="A146" s="21" t="s">
        <v>137</v>
      </c>
      <c r="B146" s="21" t="s">
        <v>183</v>
      </c>
      <c r="C146" s="21" t="s">
        <v>184</v>
      </c>
      <c r="D146" s="21" t="s">
        <v>205</v>
      </c>
      <c r="E146" s="21" t="s">
        <v>200</v>
      </c>
      <c r="F146" s="22">
        <v>55552</v>
      </c>
      <c r="G146" s="21" t="s">
        <v>142</v>
      </c>
      <c r="H146" s="23">
        <v>1000</v>
      </c>
      <c r="I146" s="21" t="s">
        <v>201</v>
      </c>
      <c r="J146" s="21" t="s">
        <v>206</v>
      </c>
      <c r="K146" s="21" t="s">
        <v>204</v>
      </c>
      <c r="L146" s="21" t="s">
        <v>207</v>
      </c>
      <c r="M146" s="23" t="s">
        <v>147</v>
      </c>
      <c r="N146" s="24" t="s">
        <v>204</v>
      </c>
    </row>
    <row r="147" spans="1:14" ht="15" customHeight="1" x14ac:dyDescent="0.3">
      <c r="A147" s="25" t="s">
        <v>137</v>
      </c>
      <c r="B147" s="25" t="s">
        <v>185</v>
      </c>
      <c r="C147" s="25" t="s">
        <v>186</v>
      </c>
      <c r="D147" s="25" t="s">
        <v>205</v>
      </c>
      <c r="E147" s="25" t="s">
        <v>200</v>
      </c>
      <c r="F147" s="26">
        <v>12092</v>
      </c>
      <c r="G147" s="25" t="s">
        <v>142</v>
      </c>
      <c r="H147" s="27">
        <v>1000</v>
      </c>
      <c r="I147" s="25" t="s">
        <v>201</v>
      </c>
      <c r="J147" s="25" t="s">
        <v>206</v>
      </c>
      <c r="K147" s="25" t="s">
        <v>204</v>
      </c>
      <c r="L147" s="25" t="s">
        <v>207</v>
      </c>
      <c r="M147" s="27" t="s">
        <v>147</v>
      </c>
      <c r="N147" s="28" t="s">
        <v>204</v>
      </c>
    </row>
    <row r="148" spans="1:14" ht="15" customHeight="1" x14ac:dyDescent="0.3">
      <c r="A148" s="21" t="s">
        <v>137</v>
      </c>
      <c r="B148" s="21" t="s">
        <v>187</v>
      </c>
      <c r="C148" s="21" t="s">
        <v>188</v>
      </c>
      <c r="D148" s="21" t="s">
        <v>205</v>
      </c>
      <c r="E148" s="21" t="s">
        <v>200</v>
      </c>
      <c r="F148" s="22">
        <v>43460</v>
      </c>
      <c r="G148" s="21" t="s">
        <v>142</v>
      </c>
      <c r="H148" s="23">
        <v>1000</v>
      </c>
      <c r="I148" s="21" t="s">
        <v>201</v>
      </c>
      <c r="J148" s="21" t="s">
        <v>206</v>
      </c>
      <c r="K148" s="21" t="s">
        <v>204</v>
      </c>
      <c r="L148" s="21" t="s">
        <v>207</v>
      </c>
      <c r="M148" s="23" t="s">
        <v>147</v>
      </c>
      <c r="N148" s="24" t="s">
        <v>204</v>
      </c>
    </row>
    <row r="149" spans="1:14" ht="15" customHeight="1" x14ac:dyDescent="0.3">
      <c r="A149" s="25" t="s">
        <v>137</v>
      </c>
      <c r="B149" s="25" t="s">
        <v>138</v>
      </c>
      <c r="C149" s="25" t="s">
        <v>139</v>
      </c>
      <c r="D149" s="25" t="s">
        <v>208</v>
      </c>
      <c r="E149" s="25" t="s">
        <v>200</v>
      </c>
      <c r="F149" s="26">
        <v>258035</v>
      </c>
      <c r="G149" s="25" t="s">
        <v>142</v>
      </c>
      <c r="H149" s="27">
        <v>1000</v>
      </c>
      <c r="I149" s="25" t="s">
        <v>201</v>
      </c>
      <c r="J149" s="25" t="s">
        <v>209</v>
      </c>
      <c r="K149" s="25" t="s">
        <v>145</v>
      </c>
      <c r="L149" s="25" t="s">
        <v>210</v>
      </c>
      <c r="M149" s="27" t="s">
        <v>147</v>
      </c>
      <c r="N149" s="28" t="s">
        <v>145</v>
      </c>
    </row>
    <row r="150" spans="1:14" ht="15" customHeight="1" x14ac:dyDescent="0.3">
      <c r="A150" s="21" t="s">
        <v>137</v>
      </c>
      <c r="B150" s="21" t="s">
        <v>148</v>
      </c>
      <c r="C150" s="21" t="s">
        <v>149</v>
      </c>
      <c r="D150" s="21" t="s">
        <v>208</v>
      </c>
      <c r="E150" s="21" t="s">
        <v>200</v>
      </c>
      <c r="F150" s="22">
        <v>21052</v>
      </c>
      <c r="G150" s="21" t="s">
        <v>142</v>
      </c>
      <c r="H150" s="23">
        <v>1000</v>
      </c>
      <c r="I150" s="21" t="s">
        <v>201</v>
      </c>
      <c r="J150" s="21" t="s">
        <v>209</v>
      </c>
      <c r="K150" s="21" t="s">
        <v>145</v>
      </c>
      <c r="L150" s="21" t="s">
        <v>210</v>
      </c>
      <c r="M150" s="23" t="s">
        <v>147</v>
      </c>
      <c r="N150" s="24" t="s">
        <v>145</v>
      </c>
    </row>
    <row r="151" spans="1:14" ht="15" customHeight="1" x14ac:dyDescent="0.3">
      <c r="A151" s="25" t="s">
        <v>137</v>
      </c>
      <c r="B151" s="25" t="s">
        <v>150</v>
      </c>
      <c r="C151" s="25" t="s">
        <v>151</v>
      </c>
      <c r="D151" s="25" t="s">
        <v>208</v>
      </c>
      <c r="E151" s="25" t="s">
        <v>200</v>
      </c>
      <c r="F151" s="26">
        <v>10109</v>
      </c>
      <c r="G151" s="25" t="s">
        <v>142</v>
      </c>
      <c r="H151" s="27">
        <v>1000</v>
      </c>
      <c r="I151" s="25" t="s">
        <v>201</v>
      </c>
      <c r="J151" s="25" t="s">
        <v>209</v>
      </c>
      <c r="K151" s="25" t="s">
        <v>145</v>
      </c>
      <c r="L151" s="25" t="s">
        <v>210</v>
      </c>
      <c r="M151" s="27" t="s">
        <v>147</v>
      </c>
      <c r="N151" s="28" t="s">
        <v>145</v>
      </c>
    </row>
    <row r="152" spans="1:14" ht="15" customHeight="1" x14ac:dyDescent="0.3">
      <c r="A152" s="21" t="s">
        <v>137</v>
      </c>
      <c r="B152" s="21" t="s">
        <v>152</v>
      </c>
      <c r="C152" s="21" t="s">
        <v>153</v>
      </c>
      <c r="D152" s="21" t="s">
        <v>208</v>
      </c>
      <c r="E152" s="21" t="s">
        <v>200</v>
      </c>
      <c r="F152" s="22">
        <v>8002</v>
      </c>
      <c r="G152" s="21" t="s">
        <v>142</v>
      </c>
      <c r="H152" s="23">
        <v>1000</v>
      </c>
      <c r="I152" s="21" t="s">
        <v>201</v>
      </c>
      <c r="J152" s="21" t="s">
        <v>209</v>
      </c>
      <c r="K152" s="21" t="s">
        <v>145</v>
      </c>
      <c r="L152" s="21" t="s">
        <v>210</v>
      </c>
      <c r="M152" s="23" t="s">
        <v>147</v>
      </c>
      <c r="N152" s="24" t="s">
        <v>145</v>
      </c>
    </row>
    <row r="153" spans="1:14" ht="15" customHeight="1" x14ac:dyDescent="0.3">
      <c r="A153" s="25" t="s">
        <v>137</v>
      </c>
      <c r="B153" s="25" t="s">
        <v>154</v>
      </c>
      <c r="C153" s="25" t="s">
        <v>155</v>
      </c>
      <c r="D153" s="25" t="s">
        <v>208</v>
      </c>
      <c r="E153" s="25" t="s">
        <v>200</v>
      </c>
      <c r="F153" s="26">
        <v>1256</v>
      </c>
      <c r="G153" s="25" t="s">
        <v>142</v>
      </c>
      <c r="H153" s="27">
        <v>1000</v>
      </c>
      <c r="I153" s="25" t="s">
        <v>201</v>
      </c>
      <c r="J153" s="25" t="s">
        <v>209</v>
      </c>
      <c r="K153" s="25" t="s">
        <v>145</v>
      </c>
      <c r="L153" s="25" t="s">
        <v>210</v>
      </c>
      <c r="M153" s="27" t="s">
        <v>147</v>
      </c>
      <c r="N153" s="28" t="s">
        <v>145</v>
      </c>
    </row>
    <row r="154" spans="1:14" ht="15" customHeight="1" x14ac:dyDescent="0.3">
      <c r="A154" s="21" t="s">
        <v>137</v>
      </c>
      <c r="B154" s="21" t="s">
        <v>156</v>
      </c>
      <c r="C154" s="21" t="s">
        <v>157</v>
      </c>
      <c r="D154" s="21" t="s">
        <v>208</v>
      </c>
      <c r="E154" s="21" t="s">
        <v>200</v>
      </c>
      <c r="F154" s="22">
        <v>298454</v>
      </c>
      <c r="G154" s="21" t="s">
        <v>142</v>
      </c>
      <c r="H154" s="23">
        <v>1000</v>
      </c>
      <c r="I154" s="21" t="s">
        <v>201</v>
      </c>
      <c r="J154" s="21" t="s">
        <v>209</v>
      </c>
      <c r="K154" s="21" t="s">
        <v>145</v>
      </c>
      <c r="L154" s="21" t="s">
        <v>210</v>
      </c>
      <c r="M154" s="23" t="s">
        <v>147</v>
      </c>
      <c r="N154" s="24" t="s">
        <v>145</v>
      </c>
    </row>
    <row r="155" spans="1:14" ht="15" customHeight="1" x14ac:dyDescent="0.3">
      <c r="A155" s="25" t="s">
        <v>137</v>
      </c>
      <c r="B155" s="25" t="s">
        <v>158</v>
      </c>
      <c r="C155" s="25" t="s">
        <v>159</v>
      </c>
      <c r="D155" s="25" t="s">
        <v>208</v>
      </c>
      <c r="E155" s="25" t="s">
        <v>200</v>
      </c>
      <c r="F155" s="26">
        <v>81714</v>
      </c>
      <c r="G155" s="25" t="s">
        <v>142</v>
      </c>
      <c r="H155" s="27">
        <v>1000</v>
      </c>
      <c r="I155" s="25" t="s">
        <v>201</v>
      </c>
      <c r="J155" s="25" t="s">
        <v>209</v>
      </c>
      <c r="K155" s="25" t="s">
        <v>204</v>
      </c>
      <c r="L155" s="25" t="s">
        <v>210</v>
      </c>
      <c r="M155" s="27" t="s">
        <v>147</v>
      </c>
      <c r="N155" s="28" t="s">
        <v>204</v>
      </c>
    </row>
    <row r="156" spans="1:14" ht="15" customHeight="1" x14ac:dyDescent="0.3">
      <c r="A156" s="21" t="s">
        <v>137</v>
      </c>
      <c r="B156" s="21" t="s">
        <v>161</v>
      </c>
      <c r="C156" s="21" t="s">
        <v>162</v>
      </c>
      <c r="D156" s="21" t="s">
        <v>208</v>
      </c>
      <c r="E156" s="21" t="s">
        <v>200</v>
      </c>
      <c r="F156" s="22">
        <v>216740</v>
      </c>
      <c r="G156" s="21" t="s">
        <v>142</v>
      </c>
      <c r="H156" s="23">
        <v>1000</v>
      </c>
      <c r="I156" s="21" t="s">
        <v>201</v>
      </c>
      <c r="J156" s="21" t="s">
        <v>209</v>
      </c>
      <c r="K156" s="21" t="s">
        <v>204</v>
      </c>
      <c r="L156" s="21" t="s">
        <v>210</v>
      </c>
      <c r="M156" s="23" t="s">
        <v>147</v>
      </c>
      <c r="N156" s="24" t="s">
        <v>204</v>
      </c>
    </row>
    <row r="157" spans="1:14" ht="15" customHeight="1" x14ac:dyDescent="0.3">
      <c r="A157" s="25" t="s">
        <v>137</v>
      </c>
      <c r="B157" s="25" t="s">
        <v>163</v>
      </c>
      <c r="C157" s="25" t="s">
        <v>164</v>
      </c>
      <c r="D157" s="25" t="s">
        <v>208</v>
      </c>
      <c r="E157" s="25" t="s">
        <v>200</v>
      </c>
      <c r="F157" s="26">
        <v>92195</v>
      </c>
      <c r="G157" s="25" t="s">
        <v>142</v>
      </c>
      <c r="H157" s="27">
        <v>1000</v>
      </c>
      <c r="I157" s="25" t="s">
        <v>201</v>
      </c>
      <c r="J157" s="25" t="s">
        <v>209</v>
      </c>
      <c r="K157" s="25" t="s">
        <v>204</v>
      </c>
      <c r="L157" s="25" t="s">
        <v>210</v>
      </c>
      <c r="M157" s="27" t="s">
        <v>147</v>
      </c>
      <c r="N157" s="28" t="s">
        <v>204</v>
      </c>
    </row>
    <row r="158" spans="1:14" ht="15" customHeight="1" x14ac:dyDescent="0.3">
      <c r="A158" s="21" t="s">
        <v>137</v>
      </c>
      <c r="B158" s="21" t="s">
        <v>165</v>
      </c>
      <c r="C158" s="21" t="s">
        <v>166</v>
      </c>
      <c r="D158" s="21" t="s">
        <v>208</v>
      </c>
      <c r="E158" s="21" t="s">
        <v>200</v>
      </c>
      <c r="F158" s="22">
        <v>40007</v>
      </c>
      <c r="G158" s="21" t="s">
        <v>142</v>
      </c>
      <c r="H158" s="23">
        <v>1000</v>
      </c>
      <c r="I158" s="21" t="s">
        <v>201</v>
      </c>
      <c r="J158" s="21" t="s">
        <v>209</v>
      </c>
      <c r="K158" s="21" t="s">
        <v>204</v>
      </c>
      <c r="L158" s="21" t="s">
        <v>210</v>
      </c>
      <c r="M158" s="23" t="s">
        <v>147</v>
      </c>
      <c r="N158" s="24" t="s">
        <v>204</v>
      </c>
    </row>
    <row r="159" spans="1:14" ht="15" customHeight="1" x14ac:dyDescent="0.3">
      <c r="A159" s="25" t="s">
        <v>137</v>
      </c>
      <c r="B159" s="25" t="s">
        <v>167</v>
      </c>
      <c r="C159" s="25" t="s">
        <v>168</v>
      </c>
      <c r="D159" s="25" t="s">
        <v>208</v>
      </c>
      <c r="E159" s="25" t="s">
        <v>200</v>
      </c>
      <c r="F159" s="26">
        <v>50593</v>
      </c>
      <c r="G159" s="25" t="s">
        <v>142</v>
      </c>
      <c r="H159" s="27">
        <v>1000</v>
      </c>
      <c r="I159" s="25" t="s">
        <v>201</v>
      </c>
      <c r="J159" s="25" t="s">
        <v>209</v>
      </c>
      <c r="K159" s="25" t="s">
        <v>204</v>
      </c>
      <c r="L159" s="25" t="s">
        <v>210</v>
      </c>
      <c r="M159" s="27" t="s">
        <v>147</v>
      </c>
      <c r="N159" s="28" t="s">
        <v>204</v>
      </c>
    </row>
    <row r="160" spans="1:14" ht="15" customHeight="1" x14ac:dyDescent="0.3">
      <c r="A160" s="21" t="s">
        <v>137</v>
      </c>
      <c r="B160" s="21" t="s">
        <v>169</v>
      </c>
      <c r="C160" s="21" t="s">
        <v>170</v>
      </c>
      <c r="D160" s="21" t="s">
        <v>208</v>
      </c>
      <c r="E160" s="21" t="s">
        <v>200</v>
      </c>
      <c r="F160" s="22">
        <v>182795</v>
      </c>
      <c r="G160" s="21" t="s">
        <v>142</v>
      </c>
      <c r="H160" s="23">
        <v>1000</v>
      </c>
      <c r="I160" s="21" t="s">
        <v>201</v>
      </c>
      <c r="J160" s="21" t="s">
        <v>209</v>
      </c>
      <c r="K160" s="21" t="s">
        <v>204</v>
      </c>
      <c r="L160" s="21" t="s">
        <v>210</v>
      </c>
      <c r="M160" s="23" t="s">
        <v>147</v>
      </c>
      <c r="N160" s="24" t="s">
        <v>204</v>
      </c>
    </row>
    <row r="161" spans="1:14" ht="15" customHeight="1" x14ac:dyDescent="0.3">
      <c r="A161" s="25" t="s">
        <v>137</v>
      </c>
      <c r="B161" s="25" t="s">
        <v>171</v>
      </c>
      <c r="C161" s="25" t="s">
        <v>172</v>
      </c>
      <c r="D161" s="25" t="s">
        <v>208</v>
      </c>
      <c r="E161" s="25" t="s">
        <v>200</v>
      </c>
      <c r="F161" s="26">
        <v>33945</v>
      </c>
      <c r="G161" s="25" t="s">
        <v>142</v>
      </c>
      <c r="H161" s="27">
        <v>1000</v>
      </c>
      <c r="I161" s="25" t="s">
        <v>201</v>
      </c>
      <c r="J161" s="25" t="s">
        <v>209</v>
      </c>
      <c r="K161" s="25" t="s">
        <v>204</v>
      </c>
      <c r="L161" s="25" t="s">
        <v>210</v>
      </c>
      <c r="M161" s="27" t="s">
        <v>147</v>
      </c>
      <c r="N161" s="28" t="s">
        <v>204</v>
      </c>
    </row>
    <row r="162" spans="1:14" ht="15" customHeight="1" x14ac:dyDescent="0.3">
      <c r="A162" s="21" t="s">
        <v>137</v>
      </c>
      <c r="B162" s="21" t="s">
        <v>177</v>
      </c>
      <c r="C162" s="21" t="s">
        <v>178</v>
      </c>
      <c r="D162" s="21" t="s">
        <v>208</v>
      </c>
      <c r="E162" s="21" t="s">
        <v>200</v>
      </c>
      <c r="F162" s="22">
        <v>-410</v>
      </c>
      <c r="G162" s="21" t="s">
        <v>142</v>
      </c>
      <c r="H162" s="23">
        <v>1000</v>
      </c>
      <c r="I162" s="21" t="s">
        <v>201</v>
      </c>
      <c r="J162" s="21" t="s">
        <v>209</v>
      </c>
      <c r="K162" s="21" t="s">
        <v>204</v>
      </c>
      <c r="L162" s="21" t="s">
        <v>210</v>
      </c>
      <c r="M162" s="23" t="s">
        <v>147</v>
      </c>
      <c r="N162" s="24" t="s">
        <v>204</v>
      </c>
    </row>
    <row r="163" spans="1:14" ht="15" customHeight="1" x14ac:dyDescent="0.3">
      <c r="A163" s="25" t="s">
        <v>137</v>
      </c>
      <c r="B163" s="25" t="s">
        <v>179</v>
      </c>
      <c r="C163" s="25" t="s">
        <v>180</v>
      </c>
      <c r="D163" s="25" t="s">
        <v>208</v>
      </c>
      <c r="E163" s="25" t="s">
        <v>200</v>
      </c>
      <c r="F163" s="26">
        <v>33535</v>
      </c>
      <c r="G163" s="25" t="s">
        <v>142</v>
      </c>
      <c r="H163" s="27">
        <v>1000</v>
      </c>
      <c r="I163" s="25" t="s">
        <v>201</v>
      </c>
      <c r="J163" s="25" t="s">
        <v>209</v>
      </c>
      <c r="K163" s="25" t="s">
        <v>204</v>
      </c>
      <c r="L163" s="25" t="s">
        <v>210</v>
      </c>
      <c r="M163" s="27" t="s">
        <v>147</v>
      </c>
      <c r="N163" s="28" t="s">
        <v>204</v>
      </c>
    </row>
    <row r="164" spans="1:14" ht="15" customHeight="1" x14ac:dyDescent="0.3">
      <c r="A164" s="21" t="s">
        <v>137</v>
      </c>
      <c r="B164" s="21" t="s">
        <v>181</v>
      </c>
      <c r="C164" s="21" t="s">
        <v>182</v>
      </c>
      <c r="D164" s="21" t="s">
        <v>208</v>
      </c>
      <c r="E164" s="21" t="s">
        <v>200</v>
      </c>
      <c r="F164" s="22">
        <v>11831</v>
      </c>
      <c r="G164" s="21" t="s">
        <v>142</v>
      </c>
      <c r="H164" s="23">
        <v>1000</v>
      </c>
      <c r="I164" s="21" t="s">
        <v>201</v>
      </c>
      <c r="J164" s="21" t="s">
        <v>209</v>
      </c>
      <c r="K164" s="21" t="s">
        <v>204</v>
      </c>
      <c r="L164" s="21" t="s">
        <v>210</v>
      </c>
      <c r="M164" s="23" t="s">
        <v>147</v>
      </c>
      <c r="N164" s="24" t="s">
        <v>204</v>
      </c>
    </row>
    <row r="165" spans="1:14" ht="15" customHeight="1" x14ac:dyDescent="0.3">
      <c r="A165" s="25" t="s">
        <v>137</v>
      </c>
      <c r="B165" s="25" t="s">
        <v>183</v>
      </c>
      <c r="C165" s="25" t="s">
        <v>184</v>
      </c>
      <c r="D165" s="25" t="s">
        <v>208</v>
      </c>
      <c r="E165" s="25" t="s">
        <v>200</v>
      </c>
      <c r="F165" s="26">
        <v>45366</v>
      </c>
      <c r="G165" s="25" t="s">
        <v>142</v>
      </c>
      <c r="H165" s="27">
        <v>1000</v>
      </c>
      <c r="I165" s="25" t="s">
        <v>201</v>
      </c>
      <c r="J165" s="25" t="s">
        <v>209</v>
      </c>
      <c r="K165" s="25" t="s">
        <v>204</v>
      </c>
      <c r="L165" s="25" t="s">
        <v>210</v>
      </c>
      <c r="M165" s="27" t="s">
        <v>147</v>
      </c>
      <c r="N165" s="28" t="s">
        <v>204</v>
      </c>
    </row>
    <row r="166" spans="1:14" ht="15" customHeight="1" x14ac:dyDescent="0.3">
      <c r="A166" s="21" t="s">
        <v>137</v>
      </c>
      <c r="B166" s="21" t="s">
        <v>185</v>
      </c>
      <c r="C166" s="21" t="s">
        <v>186</v>
      </c>
      <c r="D166" s="21" t="s">
        <v>208</v>
      </c>
      <c r="E166" s="21" t="s">
        <v>200</v>
      </c>
      <c r="F166" s="22">
        <v>12208</v>
      </c>
      <c r="G166" s="21" t="s">
        <v>142</v>
      </c>
      <c r="H166" s="23">
        <v>1000</v>
      </c>
      <c r="I166" s="21" t="s">
        <v>201</v>
      </c>
      <c r="J166" s="21" t="s">
        <v>209</v>
      </c>
      <c r="K166" s="21" t="s">
        <v>204</v>
      </c>
      <c r="L166" s="21" t="s">
        <v>210</v>
      </c>
      <c r="M166" s="23" t="s">
        <v>147</v>
      </c>
      <c r="N166" s="24" t="s">
        <v>204</v>
      </c>
    </row>
    <row r="167" spans="1:14" ht="15" customHeight="1" x14ac:dyDescent="0.3">
      <c r="A167" s="25" t="s">
        <v>137</v>
      </c>
      <c r="B167" s="25" t="s">
        <v>187</v>
      </c>
      <c r="C167" s="25" t="s">
        <v>188</v>
      </c>
      <c r="D167" s="25" t="s">
        <v>208</v>
      </c>
      <c r="E167" s="25" t="s">
        <v>200</v>
      </c>
      <c r="F167" s="26">
        <v>33158</v>
      </c>
      <c r="G167" s="25" t="s">
        <v>142</v>
      </c>
      <c r="H167" s="27">
        <v>1000</v>
      </c>
      <c r="I167" s="25" t="s">
        <v>201</v>
      </c>
      <c r="J167" s="25" t="s">
        <v>209</v>
      </c>
      <c r="K167" s="25" t="s">
        <v>204</v>
      </c>
      <c r="L167" s="25" t="s">
        <v>210</v>
      </c>
      <c r="M167" s="27" t="s">
        <v>147</v>
      </c>
      <c r="N167" s="28" t="s">
        <v>204</v>
      </c>
    </row>
    <row r="168" spans="1:14" ht="15" customHeight="1" x14ac:dyDescent="0.3">
      <c r="A168" s="21" t="s">
        <v>137</v>
      </c>
      <c r="B168" s="21" t="s">
        <v>138</v>
      </c>
      <c r="C168" s="21" t="s">
        <v>139</v>
      </c>
      <c r="D168" s="21" t="s">
        <v>211</v>
      </c>
      <c r="E168" s="21" t="s">
        <v>212</v>
      </c>
      <c r="F168" s="22">
        <v>631156</v>
      </c>
      <c r="G168" s="21" t="s">
        <v>142</v>
      </c>
      <c r="H168" s="23">
        <v>1000</v>
      </c>
      <c r="I168" s="21" t="s">
        <v>201</v>
      </c>
      <c r="J168" s="21" t="s">
        <v>213</v>
      </c>
      <c r="K168" s="21" t="s">
        <v>145</v>
      </c>
      <c r="L168" s="21" t="s">
        <v>203</v>
      </c>
      <c r="M168" s="23" t="s">
        <v>147</v>
      </c>
      <c r="N168" s="24" t="s">
        <v>145</v>
      </c>
    </row>
    <row r="169" spans="1:14" ht="15" customHeight="1" x14ac:dyDescent="0.3">
      <c r="A169" s="25" t="s">
        <v>137</v>
      </c>
      <c r="B169" s="25" t="s">
        <v>148</v>
      </c>
      <c r="C169" s="25" t="s">
        <v>149</v>
      </c>
      <c r="D169" s="25" t="s">
        <v>211</v>
      </c>
      <c r="E169" s="25" t="s">
        <v>212</v>
      </c>
      <c r="F169" s="26">
        <v>59504</v>
      </c>
      <c r="G169" s="25" t="s">
        <v>142</v>
      </c>
      <c r="H169" s="27">
        <v>1000</v>
      </c>
      <c r="I169" s="25" t="s">
        <v>201</v>
      </c>
      <c r="J169" s="25" t="s">
        <v>213</v>
      </c>
      <c r="K169" s="25" t="s">
        <v>145</v>
      </c>
      <c r="L169" s="25" t="s">
        <v>203</v>
      </c>
      <c r="M169" s="27" t="s">
        <v>147</v>
      </c>
      <c r="N169" s="28" t="s">
        <v>145</v>
      </c>
    </row>
    <row r="170" spans="1:14" ht="15" customHeight="1" x14ac:dyDescent="0.3">
      <c r="A170" s="21" t="s">
        <v>137</v>
      </c>
      <c r="B170" s="21" t="s">
        <v>150</v>
      </c>
      <c r="C170" s="21" t="s">
        <v>151</v>
      </c>
      <c r="D170" s="21" t="s">
        <v>211</v>
      </c>
      <c r="E170" s="21" t="s">
        <v>212</v>
      </c>
      <c r="F170" s="22">
        <v>31723</v>
      </c>
      <c r="G170" s="21" t="s">
        <v>142</v>
      </c>
      <c r="H170" s="23">
        <v>1000</v>
      </c>
      <c r="I170" s="21" t="s">
        <v>201</v>
      </c>
      <c r="J170" s="21" t="s">
        <v>213</v>
      </c>
      <c r="K170" s="21" t="s">
        <v>145</v>
      </c>
      <c r="L170" s="21" t="s">
        <v>203</v>
      </c>
      <c r="M170" s="23" t="s">
        <v>147</v>
      </c>
      <c r="N170" s="24" t="s">
        <v>145</v>
      </c>
    </row>
    <row r="171" spans="1:14" ht="15" customHeight="1" x14ac:dyDescent="0.3">
      <c r="A171" s="25" t="s">
        <v>137</v>
      </c>
      <c r="B171" s="25" t="s">
        <v>152</v>
      </c>
      <c r="C171" s="25" t="s">
        <v>153</v>
      </c>
      <c r="D171" s="25" t="s">
        <v>211</v>
      </c>
      <c r="E171" s="25" t="s">
        <v>212</v>
      </c>
      <c r="F171" s="26">
        <v>30928</v>
      </c>
      <c r="G171" s="25" t="s">
        <v>142</v>
      </c>
      <c r="H171" s="27">
        <v>1000</v>
      </c>
      <c r="I171" s="25" t="s">
        <v>201</v>
      </c>
      <c r="J171" s="25" t="s">
        <v>213</v>
      </c>
      <c r="K171" s="25" t="s">
        <v>145</v>
      </c>
      <c r="L171" s="25" t="s">
        <v>203</v>
      </c>
      <c r="M171" s="27" t="s">
        <v>147</v>
      </c>
      <c r="N171" s="28" t="s">
        <v>145</v>
      </c>
    </row>
    <row r="172" spans="1:14" ht="15" customHeight="1" x14ac:dyDescent="0.3">
      <c r="A172" s="21" t="s">
        <v>137</v>
      </c>
      <c r="B172" s="21" t="s">
        <v>154</v>
      </c>
      <c r="C172" s="21" t="s">
        <v>155</v>
      </c>
      <c r="D172" s="21" t="s">
        <v>211</v>
      </c>
      <c r="E172" s="21" t="s">
        <v>212</v>
      </c>
      <c r="F172" s="22">
        <v>1410</v>
      </c>
      <c r="G172" s="21" t="s">
        <v>142</v>
      </c>
      <c r="H172" s="23">
        <v>1000</v>
      </c>
      <c r="I172" s="21" t="s">
        <v>201</v>
      </c>
      <c r="J172" s="21" t="s">
        <v>213</v>
      </c>
      <c r="K172" s="21" t="s">
        <v>145</v>
      </c>
      <c r="L172" s="21" t="s">
        <v>203</v>
      </c>
      <c r="M172" s="23" t="s">
        <v>147</v>
      </c>
      <c r="N172" s="24" t="s">
        <v>145</v>
      </c>
    </row>
    <row r="173" spans="1:14" ht="15" customHeight="1" x14ac:dyDescent="0.3">
      <c r="A173" s="25" t="s">
        <v>137</v>
      </c>
      <c r="B173" s="25" t="s">
        <v>156</v>
      </c>
      <c r="C173" s="25" t="s">
        <v>157</v>
      </c>
      <c r="D173" s="25" t="s">
        <v>211</v>
      </c>
      <c r="E173" s="25" t="s">
        <v>212</v>
      </c>
      <c r="F173" s="26">
        <v>754721</v>
      </c>
      <c r="G173" s="25" t="s">
        <v>142</v>
      </c>
      <c r="H173" s="27">
        <v>1000</v>
      </c>
      <c r="I173" s="25" t="s">
        <v>201</v>
      </c>
      <c r="J173" s="25" t="s">
        <v>213</v>
      </c>
      <c r="K173" s="25" t="s">
        <v>145</v>
      </c>
      <c r="L173" s="25" t="s">
        <v>203</v>
      </c>
      <c r="M173" s="27" t="s">
        <v>147</v>
      </c>
      <c r="N173" s="28" t="s">
        <v>145</v>
      </c>
    </row>
    <row r="174" spans="1:14" ht="15" customHeight="1" x14ac:dyDescent="0.3">
      <c r="A174" s="21" t="s">
        <v>137</v>
      </c>
      <c r="B174" s="21" t="s">
        <v>158</v>
      </c>
      <c r="C174" s="21" t="s">
        <v>159</v>
      </c>
      <c r="D174" s="21" t="s">
        <v>211</v>
      </c>
      <c r="E174" s="21" t="s">
        <v>212</v>
      </c>
      <c r="F174" s="22">
        <v>211133</v>
      </c>
      <c r="G174" s="21" t="s">
        <v>142</v>
      </c>
      <c r="H174" s="23">
        <v>1000</v>
      </c>
      <c r="I174" s="21" t="s">
        <v>201</v>
      </c>
      <c r="J174" s="21" t="s">
        <v>213</v>
      </c>
      <c r="K174" s="21" t="s">
        <v>204</v>
      </c>
      <c r="L174" s="21" t="s">
        <v>203</v>
      </c>
      <c r="M174" s="23" t="s">
        <v>147</v>
      </c>
      <c r="N174" s="24" t="s">
        <v>204</v>
      </c>
    </row>
    <row r="175" spans="1:14" ht="15" customHeight="1" x14ac:dyDescent="0.3">
      <c r="A175" s="25" t="s">
        <v>137</v>
      </c>
      <c r="B175" s="25" t="s">
        <v>161</v>
      </c>
      <c r="C175" s="25" t="s">
        <v>162</v>
      </c>
      <c r="D175" s="25" t="s">
        <v>211</v>
      </c>
      <c r="E175" s="25" t="s">
        <v>212</v>
      </c>
      <c r="F175" s="26">
        <v>543588</v>
      </c>
      <c r="G175" s="25" t="s">
        <v>142</v>
      </c>
      <c r="H175" s="27">
        <v>1000</v>
      </c>
      <c r="I175" s="25" t="s">
        <v>201</v>
      </c>
      <c r="J175" s="25" t="s">
        <v>213</v>
      </c>
      <c r="K175" s="25" t="s">
        <v>204</v>
      </c>
      <c r="L175" s="25" t="s">
        <v>203</v>
      </c>
      <c r="M175" s="27" t="s">
        <v>147</v>
      </c>
      <c r="N175" s="28" t="s">
        <v>204</v>
      </c>
    </row>
    <row r="176" spans="1:14" ht="15" customHeight="1" x14ac:dyDescent="0.3">
      <c r="A176" s="21" t="s">
        <v>137</v>
      </c>
      <c r="B176" s="21" t="s">
        <v>163</v>
      </c>
      <c r="C176" s="21" t="s">
        <v>164</v>
      </c>
      <c r="D176" s="21" t="s">
        <v>211</v>
      </c>
      <c r="E176" s="21" t="s">
        <v>212</v>
      </c>
      <c r="F176" s="22">
        <v>226767</v>
      </c>
      <c r="G176" s="21" t="s">
        <v>142</v>
      </c>
      <c r="H176" s="23">
        <v>1000</v>
      </c>
      <c r="I176" s="21" t="s">
        <v>201</v>
      </c>
      <c r="J176" s="21" t="s">
        <v>213</v>
      </c>
      <c r="K176" s="21" t="s">
        <v>204</v>
      </c>
      <c r="L176" s="21" t="s">
        <v>203</v>
      </c>
      <c r="M176" s="23" t="s">
        <v>147</v>
      </c>
      <c r="N176" s="24" t="s">
        <v>204</v>
      </c>
    </row>
    <row r="177" spans="1:14" ht="15" customHeight="1" x14ac:dyDescent="0.3">
      <c r="A177" s="25" t="s">
        <v>137</v>
      </c>
      <c r="B177" s="25" t="s">
        <v>165</v>
      </c>
      <c r="C177" s="25" t="s">
        <v>166</v>
      </c>
      <c r="D177" s="25" t="s">
        <v>211</v>
      </c>
      <c r="E177" s="25" t="s">
        <v>212</v>
      </c>
      <c r="F177" s="26">
        <v>91306</v>
      </c>
      <c r="G177" s="25" t="s">
        <v>142</v>
      </c>
      <c r="H177" s="27">
        <v>1000</v>
      </c>
      <c r="I177" s="25" t="s">
        <v>201</v>
      </c>
      <c r="J177" s="25" t="s">
        <v>213</v>
      </c>
      <c r="K177" s="25" t="s">
        <v>204</v>
      </c>
      <c r="L177" s="25" t="s">
        <v>203</v>
      </c>
      <c r="M177" s="27" t="s">
        <v>147</v>
      </c>
      <c r="N177" s="28" t="s">
        <v>204</v>
      </c>
    </row>
    <row r="178" spans="1:14" ht="15" customHeight="1" x14ac:dyDescent="0.3">
      <c r="A178" s="21" t="s">
        <v>137</v>
      </c>
      <c r="B178" s="21" t="s">
        <v>167</v>
      </c>
      <c r="C178" s="21" t="s">
        <v>168</v>
      </c>
      <c r="D178" s="21" t="s">
        <v>211</v>
      </c>
      <c r="E178" s="21" t="s">
        <v>212</v>
      </c>
      <c r="F178" s="22">
        <v>133399</v>
      </c>
      <c r="G178" s="21" t="s">
        <v>142</v>
      </c>
      <c r="H178" s="23">
        <v>1000</v>
      </c>
      <c r="I178" s="21" t="s">
        <v>201</v>
      </c>
      <c r="J178" s="21" t="s">
        <v>213</v>
      </c>
      <c r="K178" s="21" t="s">
        <v>204</v>
      </c>
      <c r="L178" s="21" t="s">
        <v>203</v>
      </c>
      <c r="M178" s="23" t="s">
        <v>147</v>
      </c>
      <c r="N178" s="24" t="s">
        <v>204</v>
      </c>
    </row>
    <row r="179" spans="1:14" ht="15" customHeight="1" x14ac:dyDescent="0.3">
      <c r="A179" s="25" t="s">
        <v>137</v>
      </c>
      <c r="B179" s="25" t="s">
        <v>169</v>
      </c>
      <c r="C179" s="25" t="s">
        <v>170</v>
      </c>
      <c r="D179" s="25" t="s">
        <v>211</v>
      </c>
      <c r="E179" s="25" t="s">
        <v>212</v>
      </c>
      <c r="F179" s="26">
        <v>451472</v>
      </c>
      <c r="G179" s="25" t="s">
        <v>142</v>
      </c>
      <c r="H179" s="27">
        <v>1000</v>
      </c>
      <c r="I179" s="25" t="s">
        <v>201</v>
      </c>
      <c r="J179" s="25" t="s">
        <v>213</v>
      </c>
      <c r="K179" s="25" t="s">
        <v>204</v>
      </c>
      <c r="L179" s="25" t="s">
        <v>203</v>
      </c>
      <c r="M179" s="27" t="s">
        <v>147</v>
      </c>
      <c r="N179" s="28" t="s">
        <v>204</v>
      </c>
    </row>
    <row r="180" spans="1:14" ht="15" customHeight="1" x14ac:dyDescent="0.3">
      <c r="A180" s="21" t="s">
        <v>137</v>
      </c>
      <c r="B180" s="21" t="s">
        <v>171</v>
      </c>
      <c r="C180" s="21" t="s">
        <v>172</v>
      </c>
      <c r="D180" s="21" t="s">
        <v>211</v>
      </c>
      <c r="E180" s="21" t="s">
        <v>212</v>
      </c>
      <c r="F180" s="22">
        <v>92116</v>
      </c>
      <c r="G180" s="21" t="s">
        <v>142</v>
      </c>
      <c r="H180" s="23">
        <v>1000</v>
      </c>
      <c r="I180" s="21" t="s">
        <v>201</v>
      </c>
      <c r="J180" s="21" t="s">
        <v>213</v>
      </c>
      <c r="K180" s="21" t="s">
        <v>204</v>
      </c>
      <c r="L180" s="21" t="s">
        <v>203</v>
      </c>
      <c r="M180" s="23" t="s">
        <v>147</v>
      </c>
      <c r="N180" s="24" t="s">
        <v>204</v>
      </c>
    </row>
    <row r="181" spans="1:14" ht="15" customHeight="1" x14ac:dyDescent="0.3">
      <c r="A181" s="25" t="s">
        <v>137</v>
      </c>
      <c r="B181" s="25" t="s">
        <v>177</v>
      </c>
      <c r="C181" s="25" t="s">
        <v>178</v>
      </c>
      <c r="D181" s="25" t="s">
        <v>211</v>
      </c>
      <c r="E181" s="25" t="s">
        <v>212</v>
      </c>
      <c r="F181" s="26">
        <v>2158</v>
      </c>
      <c r="G181" s="25" t="s">
        <v>142</v>
      </c>
      <c r="H181" s="27">
        <v>1000</v>
      </c>
      <c r="I181" s="25" t="s">
        <v>201</v>
      </c>
      <c r="J181" s="25" t="s">
        <v>213</v>
      </c>
      <c r="K181" s="25" t="s">
        <v>204</v>
      </c>
      <c r="L181" s="25" t="s">
        <v>203</v>
      </c>
      <c r="M181" s="27" t="s">
        <v>147</v>
      </c>
      <c r="N181" s="28" t="s">
        <v>204</v>
      </c>
    </row>
    <row r="182" spans="1:14" ht="15" customHeight="1" x14ac:dyDescent="0.3">
      <c r="A182" s="21" t="s">
        <v>137</v>
      </c>
      <c r="B182" s="21" t="s">
        <v>179</v>
      </c>
      <c r="C182" s="21" t="s">
        <v>180</v>
      </c>
      <c r="D182" s="21" t="s">
        <v>211</v>
      </c>
      <c r="E182" s="21" t="s">
        <v>212</v>
      </c>
      <c r="F182" s="22">
        <v>94274</v>
      </c>
      <c r="G182" s="21" t="s">
        <v>142</v>
      </c>
      <c r="H182" s="23">
        <v>1000</v>
      </c>
      <c r="I182" s="21" t="s">
        <v>201</v>
      </c>
      <c r="J182" s="21" t="s">
        <v>213</v>
      </c>
      <c r="K182" s="21" t="s">
        <v>204</v>
      </c>
      <c r="L182" s="21" t="s">
        <v>203</v>
      </c>
      <c r="M182" s="23" t="s">
        <v>147</v>
      </c>
      <c r="N182" s="24" t="s">
        <v>204</v>
      </c>
    </row>
    <row r="183" spans="1:14" ht="15" customHeight="1" x14ac:dyDescent="0.3">
      <c r="A183" s="25" t="s">
        <v>137</v>
      </c>
      <c r="B183" s="25" t="s">
        <v>181</v>
      </c>
      <c r="C183" s="25" t="s">
        <v>182</v>
      </c>
      <c r="D183" s="25" t="s">
        <v>211</v>
      </c>
      <c r="E183" s="25" t="s">
        <v>212</v>
      </c>
      <c r="F183" s="26">
        <v>33635</v>
      </c>
      <c r="G183" s="25" t="s">
        <v>142</v>
      </c>
      <c r="H183" s="27">
        <v>1000</v>
      </c>
      <c r="I183" s="25" t="s">
        <v>201</v>
      </c>
      <c r="J183" s="25" t="s">
        <v>213</v>
      </c>
      <c r="K183" s="25" t="s">
        <v>204</v>
      </c>
      <c r="L183" s="25" t="s">
        <v>203</v>
      </c>
      <c r="M183" s="27" t="s">
        <v>147</v>
      </c>
      <c r="N183" s="28" t="s">
        <v>204</v>
      </c>
    </row>
    <row r="184" spans="1:14" ht="15" customHeight="1" x14ac:dyDescent="0.3">
      <c r="A184" s="21" t="s">
        <v>137</v>
      </c>
      <c r="B184" s="21" t="s">
        <v>183</v>
      </c>
      <c r="C184" s="21" t="s">
        <v>184</v>
      </c>
      <c r="D184" s="21" t="s">
        <v>211</v>
      </c>
      <c r="E184" s="21" t="s">
        <v>212</v>
      </c>
      <c r="F184" s="22">
        <v>127909</v>
      </c>
      <c r="G184" s="21" t="s">
        <v>142</v>
      </c>
      <c r="H184" s="23">
        <v>1000</v>
      </c>
      <c r="I184" s="21" t="s">
        <v>201</v>
      </c>
      <c r="J184" s="21" t="s">
        <v>213</v>
      </c>
      <c r="K184" s="21" t="s">
        <v>204</v>
      </c>
      <c r="L184" s="21" t="s">
        <v>203</v>
      </c>
      <c r="M184" s="23" t="s">
        <v>147</v>
      </c>
      <c r="N184" s="24" t="s">
        <v>204</v>
      </c>
    </row>
    <row r="185" spans="1:14" ht="15" customHeight="1" x14ac:dyDescent="0.3">
      <c r="A185" s="25" t="s">
        <v>137</v>
      </c>
      <c r="B185" s="25" t="s">
        <v>185</v>
      </c>
      <c r="C185" s="25" t="s">
        <v>186</v>
      </c>
      <c r="D185" s="25" t="s">
        <v>211</v>
      </c>
      <c r="E185" s="25" t="s">
        <v>212</v>
      </c>
      <c r="F185" s="26">
        <v>-244202</v>
      </c>
      <c r="G185" s="25" t="s">
        <v>142</v>
      </c>
      <c r="H185" s="27">
        <v>1000</v>
      </c>
      <c r="I185" s="25" t="s">
        <v>201</v>
      </c>
      <c r="J185" s="25" t="s">
        <v>213</v>
      </c>
      <c r="K185" s="25" t="s">
        <v>204</v>
      </c>
      <c r="L185" s="25" t="s">
        <v>203</v>
      </c>
      <c r="M185" s="27" t="s">
        <v>147</v>
      </c>
      <c r="N185" s="28" t="s">
        <v>204</v>
      </c>
    </row>
    <row r="186" spans="1:14" ht="15" customHeight="1" x14ac:dyDescent="0.3">
      <c r="A186" s="21" t="s">
        <v>137</v>
      </c>
      <c r="B186" s="21" t="s">
        <v>187</v>
      </c>
      <c r="C186" s="21" t="s">
        <v>188</v>
      </c>
      <c r="D186" s="21" t="s">
        <v>211</v>
      </c>
      <c r="E186" s="21" t="s">
        <v>212</v>
      </c>
      <c r="F186" s="22">
        <v>372111</v>
      </c>
      <c r="G186" s="21" t="s">
        <v>142</v>
      </c>
      <c r="H186" s="23">
        <v>1000</v>
      </c>
      <c r="I186" s="21" t="s">
        <v>201</v>
      </c>
      <c r="J186" s="21" t="s">
        <v>213</v>
      </c>
      <c r="K186" s="21" t="s">
        <v>204</v>
      </c>
      <c r="L186" s="21" t="s">
        <v>203</v>
      </c>
      <c r="M186" s="23" t="s">
        <v>147</v>
      </c>
      <c r="N186" s="24" t="s">
        <v>204</v>
      </c>
    </row>
    <row r="187" spans="1:14" ht="15" customHeight="1" x14ac:dyDescent="0.3">
      <c r="A187" s="25" t="s">
        <v>137</v>
      </c>
      <c r="B187" s="25" t="s">
        <v>214</v>
      </c>
      <c r="C187" s="25" t="s">
        <v>215</v>
      </c>
      <c r="D187" s="25" t="s">
        <v>140</v>
      </c>
      <c r="E187" s="25" t="s">
        <v>141</v>
      </c>
      <c r="F187" s="26">
        <v>693</v>
      </c>
      <c r="G187" s="25" t="s">
        <v>142</v>
      </c>
      <c r="H187" s="27">
        <v>1000</v>
      </c>
      <c r="I187" s="25" t="s">
        <v>143</v>
      </c>
      <c r="J187" s="25" t="s">
        <v>144</v>
      </c>
      <c r="K187" s="25" t="s">
        <v>216</v>
      </c>
      <c r="L187" s="25" t="s">
        <v>217</v>
      </c>
      <c r="M187" s="27" t="s">
        <v>147</v>
      </c>
      <c r="N187" s="28" t="s">
        <v>216</v>
      </c>
    </row>
    <row r="188" spans="1:14" ht="15" customHeight="1" x14ac:dyDescent="0.3">
      <c r="A188" s="21" t="s">
        <v>137</v>
      </c>
      <c r="B188" s="21" t="s">
        <v>214</v>
      </c>
      <c r="C188" s="21" t="s">
        <v>215</v>
      </c>
      <c r="D188" s="21" t="s">
        <v>189</v>
      </c>
      <c r="E188" s="21" t="s">
        <v>141</v>
      </c>
      <c r="F188" s="22">
        <v>1752</v>
      </c>
      <c r="G188" s="21" t="s">
        <v>142</v>
      </c>
      <c r="H188" s="23">
        <v>1000</v>
      </c>
      <c r="I188" s="21" t="s">
        <v>143</v>
      </c>
      <c r="J188" s="21" t="s">
        <v>192</v>
      </c>
      <c r="K188" s="21" t="s">
        <v>218</v>
      </c>
      <c r="L188" s="21" t="s">
        <v>146</v>
      </c>
      <c r="M188" s="23" t="s">
        <v>147</v>
      </c>
      <c r="N188" s="24" t="s">
        <v>218</v>
      </c>
    </row>
    <row r="189" spans="1:14" ht="15" customHeight="1" x14ac:dyDescent="0.3">
      <c r="A189" s="25" t="s">
        <v>137</v>
      </c>
      <c r="B189" s="25" t="s">
        <v>214</v>
      </c>
      <c r="C189" s="25" t="s">
        <v>215</v>
      </c>
      <c r="D189" s="25" t="s">
        <v>191</v>
      </c>
      <c r="E189" s="25" t="s">
        <v>141</v>
      </c>
      <c r="F189" s="26">
        <v>2995</v>
      </c>
      <c r="G189" s="25" t="s">
        <v>142</v>
      </c>
      <c r="H189" s="27">
        <v>1000</v>
      </c>
      <c r="I189" s="25" t="s">
        <v>143</v>
      </c>
      <c r="J189" s="25" t="s">
        <v>198</v>
      </c>
      <c r="K189" s="25" t="s">
        <v>218</v>
      </c>
      <c r="L189" s="25" t="s">
        <v>193</v>
      </c>
      <c r="M189" s="27" t="s">
        <v>147</v>
      </c>
      <c r="N189" s="28" t="s">
        <v>218</v>
      </c>
    </row>
    <row r="190" spans="1:14" ht="15" customHeight="1" x14ac:dyDescent="0.3">
      <c r="A190" s="21" t="s">
        <v>137</v>
      </c>
      <c r="B190" s="21" t="s">
        <v>214</v>
      </c>
      <c r="C190" s="21" t="s">
        <v>215</v>
      </c>
      <c r="D190" s="21" t="s">
        <v>195</v>
      </c>
      <c r="E190" s="21" t="s">
        <v>141</v>
      </c>
      <c r="F190" s="22">
        <v>5889</v>
      </c>
      <c r="G190" s="21" t="s">
        <v>142</v>
      </c>
      <c r="H190" s="23">
        <v>1000</v>
      </c>
      <c r="I190" s="21" t="s">
        <v>143</v>
      </c>
      <c r="J190" s="21" t="s">
        <v>198</v>
      </c>
      <c r="K190" s="21" t="s">
        <v>218</v>
      </c>
      <c r="L190" s="21" t="s">
        <v>193</v>
      </c>
      <c r="M190" s="23" t="s">
        <v>147</v>
      </c>
      <c r="N190" s="24" t="s">
        <v>218</v>
      </c>
    </row>
    <row r="191" spans="1:14" ht="15" customHeight="1" x14ac:dyDescent="0.3">
      <c r="A191" s="25" t="s">
        <v>137</v>
      </c>
      <c r="B191" s="25" t="s">
        <v>214</v>
      </c>
      <c r="C191" s="25" t="s">
        <v>215</v>
      </c>
      <c r="D191" s="25" t="s">
        <v>197</v>
      </c>
      <c r="E191" s="25" t="s">
        <v>141</v>
      </c>
      <c r="F191" s="26">
        <v>9196</v>
      </c>
      <c r="G191" s="25" t="s">
        <v>142</v>
      </c>
      <c r="H191" s="27">
        <v>1000</v>
      </c>
      <c r="I191" s="25" t="s">
        <v>143</v>
      </c>
      <c r="J191" s="25" t="s">
        <v>198</v>
      </c>
      <c r="K191" s="25" t="s">
        <v>218</v>
      </c>
      <c r="L191" s="25" t="s">
        <v>193</v>
      </c>
      <c r="M191" s="27" t="s">
        <v>147</v>
      </c>
      <c r="N191" s="28" t="s">
        <v>218</v>
      </c>
    </row>
    <row r="192" spans="1:14" ht="15" customHeight="1" x14ac:dyDescent="0.3">
      <c r="A192" s="21" t="s">
        <v>137</v>
      </c>
      <c r="B192" s="21" t="s">
        <v>214</v>
      </c>
      <c r="C192" s="21" t="s">
        <v>215</v>
      </c>
      <c r="D192" s="21" t="s">
        <v>219</v>
      </c>
      <c r="E192" s="21" t="s">
        <v>212</v>
      </c>
      <c r="F192" s="22">
        <v>5720</v>
      </c>
      <c r="G192" s="21" t="s">
        <v>142</v>
      </c>
      <c r="H192" s="23">
        <v>1000</v>
      </c>
      <c r="I192" s="21" t="s">
        <v>201</v>
      </c>
      <c r="J192" s="21" t="s">
        <v>220</v>
      </c>
      <c r="K192" s="21" t="s">
        <v>221</v>
      </c>
      <c r="L192" s="21" t="s">
        <v>210</v>
      </c>
      <c r="M192" s="23" t="s">
        <v>147</v>
      </c>
      <c r="N192" s="24" t="s">
        <v>221</v>
      </c>
    </row>
    <row r="193" spans="1:14" ht="15" customHeight="1" x14ac:dyDescent="0.3">
      <c r="A193" s="25" t="s">
        <v>137</v>
      </c>
      <c r="B193" s="25" t="s">
        <v>214</v>
      </c>
      <c r="C193" s="25" t="s">
        <v>215</v>
      </c>
      <c r="D193" s="25" t="s">
        <v>208</v>
      </c>
      <c r="E193" s="25" t="s">
        <v>200</v>
      </c>
      <c r="F193" s="26">
        <v>2885</v>
      </c>
      <c r="G193" s="25" t="s">
        <v>142</v>
      </c>
      <c r="H193" s="27">
        <v>1000</v>
      </c>
      <c r="I193" s="25" t="s">
        <v>201</v>
      </c>
      <c r="J193" s="25" t="s">
        <v>209</v>
      </c>
      <c r="K193" s="25" t="s">
        <v>221</v>
      </c>
      <c r="L193" s="25" t="s">
        <v>210</v>
      </c>
      <c r="M193" s="27" t="s">
        <v>147</v>
      </c>
      <c r="N193" s="28" t="s">
        <v>221</v>
      </c>
    </row>
    <row r="194" spans="1:14" ht="15" customHeight="1" x14ac:dyDescent="0.3">
      <c r="A194" s="21" t="s">
        <v>222</v>
      </c>
      <c r="B194" s="21" t="s">
        <v>223</v>
      </c>
      <c r="C194" s="21" t="s">
        <v>224</v>
      </c>
      <c r="D194" s="21" t="s">
        <v>140</v>
      </c>
      <c r="E194" s="21" t="s">
        <v>141</v>
      </c>
      <c r="F194" s="22">
        <v>553922</v>
      </c>
      <c r="G194" s="21" t="s">
        <v>142</v>
      </c>
      <c r="H194" s="23">
        <v>1000</v>
      </c>
      <c r="I194" s="21" t="s">
        <v>143</v>
      </c>
      <c r="J194" s="21" t="s">
        <v>144</v>
      </c>
      <c r="K194" s="21" t="s">
        <v>225</v>
      </c>
      <c r="L194" s="21" t="s">
        <v>217</v>
      </c>
      <c r="M194" s="23" t="s">
        <v>147</v>
      </c>
      <c r="N194" s="24" t="s">
        <v>225</v>
      </c>
    </row>
    <row r="195" spans="1:14" ht="15" customHeight="1" x14ac:dyDescent="0.3">
      <c r="A195" s="25" t="s">
        <v>222</v>
      </c>
      <c r="B195" s="25" t="s">
        <v>226</v>
      </c>
      <c r="C195" s="25" t="s">
        <v>227</v>
      </c>
      <c r="D195" s="25" t="s">
        <v>140</v>
      </c>
      <c r="E195" s="25" t="s">
        <v>141</v>
      </c>
      <c r="F195" s="26">
        <v>33163</v>
      </c>
      <c r="G195" s="25" t="s">
        <v>142</v>
      </c>
      <c r="H195" s="27">
        <v>1000</v>
      </c>
      <c r="I195" s="25" t="s">
        <v>143</v>
      </c>
      <c r="J195" s="25" t="s">
        <v>144</v>
      </c>
      <c r="K195" s="25" t="s">
        <v>225</v>
      </c>
      <c r="L195" s="25" t="s">
        <v>217</v>
      </c>
      <c r="M195" s="27" t="s">
        <v>147</v>
      </c>
      <c r="N195" s="28" t="s">
        <v>225</v>
      </c>
    </row>
    <row r="196" spans="1:14" ht="15" customHeight="1" x14ac:dyDescent="0.3">
      <c r="A196" s="21" t="s">
        <v>222</v>
      </c>
      <c r="B196" s="21" t="s">
        <v>228</v>
      </c>
      <c r="C196" s="21" t="s">
        <v>229</v>
      </c>
      <c r="D196" s="21" t="s">
        <v>140</v>
      </c>
      <c r="E196" s="21" t="s">
        <v>141</v>
      </c>
      <c r="F196" s="22">
        <v>24219</v>
      </c>
      <c r="G196" s="21" t="s">
        <v>142</v>
      </c>
      <c r="H196" s="23">
        <v>1000</v>
      </c>
      <c r="I196" s="21" t="s">
        <v>143</v>
      </c>
      <c r="J196" s="21" t="s">
        <v>144</v>
      </c>
      <c r="K196" s="21" t="s">
        <v>225</v>
      </c>
      <c r="L196" s="21" t="s">
        <v>217</v>
      </c>
      <c r="M196" s="23" t="s">
        <v>147</v>
      </c>
      <c r="N196" s="24" t="s">
        <v>225</v>
      </c>
    </row>
    <row r="197" spans="1:14" ht="15" customHeight="1" x14ac:dyDescent="0.3">
      <c r="A197" s="25" t="s">
        <v>222</v>
      </c>
      <c r="B197" s="25" t="s">
        <v>230</v>
      </c>
      <c r="C197" s="25" t="s">
        <v>231</v>
      </c>
      <c r="D197" s="25" t="s">
        <v>140</v>
      </c>
      <c r="E197" s="25" t="s">
        <v>141</v>
      </c>
      <c r="F197" s="26">
        <v>7967</v>
      </c>
      <c r="G197" s="25" t="s">
        <v>142</v>
      </c>
      <c r="H197" s="27">
        <v>1000</v>
      </c>
      <c r="I197" s="25" t="s">
        <v>143</v>
      </c>
      <c r="J197" s="25" t="s">
        <v>144</v>
      </c>
      <c r="K197" s="25" t="s">
        <v>225</v>
      </c>
      <c r="L197" s="25" t="s">
        <v>217</v>
      </c>
      <c r="M197" s="27" t="s">
        <v>147</v>
      </c>
      <c r="N197" s="28" t="s">
        <v>225</v>
      </c>
    </row>
    <row r="198" spans="1:14" ht="15" customHeight="1" x14ac:dyDescent="0.3">
      <c r="A198" s="21" t="s">
        <v>222</v>
      </c>
      <c r="B198" s="21" t="s">
        <v>232</v>
      </c>
      <c r="C198" s="21" t="s">
        <v>233</v>
      </c>
      <c r="D198" s="21" t="s">
        <v>140</v>
      </c>
      <c r="E198" s="21" t="s">
        <v>141</v>
      </c>
      <c r="F198" s="22">
        <v>619271</v>
      </c>
      <c r="G198" s="21" t="s">
        <v>142</v>
      </c>
      <c r="H198" s="23">
        <v>1000</v>
      </c>
      <c r="I198" s="21" t="s">
        <v>143</v>
      </c>
      <c r="J198" s="21" t="s">
        <v>144</v>
      </c>
      <c r="K198" s="21" t="s">
        <v>225</v>
      </c>
      <c r="L198" s="21" t="s">
        <v>217</v>
      </c>
      <c r="M198" s="23" t="s">
        <v>147</v>
      </c>
      <c r="N198" s="24" t="s">
        <v>225</v>
      </c>
    </row>
    <row r="199" spans="1:14" ht="15" customHeight="1" x14ac:dyDescent="0.3">
      <c r="A199" s="25" t="s">
        <v>222</v>
      </c>
      <c r="B199" s="25" t="s">
        <v>234</v>
      </c>
      <c r="C199" s="25" t="s">
        <v>235</v>
      </c>
      <c r="D199" s="25" t="s">
        <v>140</v>
      </c>
      <c r="E199" s="25" t="s">
        <v>141</v>
      </c>
      <c r="F199" s="26">
        <v>28369</v>
      </c>
      <c r="G199" s="25" t="s">
        <v>142</v>
      </c>
      <c r="H199" s="27">
        <v>1000</v>
      </c>
      <c r="I199" s="25" t="s">
        <v>143</v>
      </c>
      <c r="J199" s="25" t="s">
        <v>144</v>
      </c>
      <c r="K199" s="25" t="s">
        <v>225</v>
      </c>
      <c r="L199" s="25" t="s">
        <v>217</v>
      </c>
      <c r="M199" s="27" t="s">
        <v>147</v>
      </c>
      <c r="N199" s="28" t="s">
        <v>225</v>
      </c>
    </row>
    <row r="200" spans="1:14" ht="15" customHeight="1" x14ac:dyDescent="0.3">
      <c r="A200" s="21" t="s">
        <v>222</v>
      </c>
      <c r="B200" s="21" t="s">
        <v>236</v>
      </c>
      <c r="C200" s="21" t="s">
        <v>237</v>
      </c>
      <c r="D200" s="21" t="s">
        <v>140</v>
      </c>
      <c r="E200" s="21" t="s">
        <v>141</v>
      </c>
      <c r="F200" s="22">
        <v>8211</v>
      </c>
      <c r="G200" s="21" t="s">
        <v>142</v>
      </c>
      <c r="H200" s="23">
        <v>1000</v>
      </c>
      <c r="I200" s="21" t="s">
        <v>143</v>
      </c>
      <c r="J200" s="21" t="s">
        <v>144</v>
      </c>
      <c r="K200" s="21" t="s">
        <v>225</v>
      </c>
      <c r="L200" s="21" t="s">
        <v>217</v>
      </c>
      <c r="M200" s="23" t="s">
        <v>147</v>
      </c>
      <c r="N200" s="24" t="s">
        <v>225</v>
      </c>
    </row>
    <row r="201" spans="1:14" ht="15" customHeight="1" x14ac:dyDescent="0.3">
      <c r="A201" s="25" t="s">
        <v>222</v>
      </c>
      <c r="B201" s="25" t="s">
        <v>238</v>
      </c>
      <c r="C201" s="25" t="s">
        <v>239</v>
      </c>
      <c r="D201" s="25" t="s">
        <v>140</v>
      </c>
      <c r="E201" s="25" t="s">
        <v>141</v>
      </c>
      <c r="F201" s="26">
        <v>4566</v>
      </c>
      <c r="G201" s="25" t="s">
        <v>142</v>
      </c>
      <c r="H201" s="27">
        <v>1000</v>
      </c>
      <c r="I201" s="25" t="s">
        <v>143</v>
      </c>
      <c r="J201" s="25" t="s">
        <v>144</v>
      </c>
      <c r="K201" s="25" t="s">
        <v>225</v>
      </c>
      <c r="L201" s="25" t="s">
        <v>217</v>
      </c>
      <c r="M201" s="27" t="s">
        <v>147</v>
      </c>
      <c r="N201" s="28" t="s">
        <v>225</v>
      </c>
    </row>
    <row r="202" spans="1:14" ht="15" customHeight="1" x14ac:dyDescent="0.3">
      <c r="A202" s="21" t="s">
        <v>222</v>
      </c>
      <c r="B202" s="21" t="s">
        <v>240</v>
      </c>
      <c r="C202" s="21" t="s">
        <v>241</v>
      </c>
      <c r="D202" s="21" t="s">
        <v>140</v>
      </c>
      <c r="E202" s="21" t="s">
        <v>141</v>
      </c>
      <c r="F202" s="22">
        <v>894</v>
      </c>
      <c r="G202" s="21" t="s">
        <v>142</v>
      </c>
      <c r="H202" s="23">
        <v>1000</v>
      </c>
      <c r="I202" s="21" t="s">
        <v>143</v>
      </c>
      <c r="J202" s="21" t="s">
        <v>144</v>
      </c>
      <c r="K202" s="21" t="s">
        <v>225</v>
      </c>
      <c r="L202" s="21" t="s">
        <v>217</v>
      </c>
      <c r="M202" s="23" t="s">
        <v>147</v>
      </c>
      <c r="N202" s="24" t="s">
        <v>225</v>
      </c>
    </row>
    <row r="203" spans="1:14" ht="15" customHeight="1" x14ac:dyDescent="0.3">
      <c r="A203" s="25" t="s">
        <v>222</v>
      </c>
      <c r="B203" s="25" t="s">
        <v>242</v>
      </c>
      <c r="C203" s="25" t="s">
        <v>243</v>
      </c>
      <c r="D203" s="25" t="s">
        <v>140</v>
      </c>
      <c r="E203" s="25" t="s">
        <v>141</v>
      </c>
      <c r="F203" s="26">
        <v>661311</v>
      </c>
      <c r="G203" s="25" t="s">
        <v>142</v>
      </c>
      <c r="H203" s="27">
        <v>1000</v>
      </c>
      <c r="I203" s="25" t="s">
        <v>143</v>
      </c>
      <c r="J203" s="25" t="s">
        <v>144</v>
      </c>
      <c r="K203" s="25" t="s">
        <v>225</v>
      </c>
      <c r="L203" s="25" t="s">
        <v>217</v>
      </c>
      <c r="M203" s="27" t="s">
        <v>147</v>
      </c>
      <c r="N203" s="28" t="s">
        <v>225</v>
      </c>
    </row>
    <row r="204" spans="1:14" ht="15" customHeight="1" x14ac:dyDescent="0.3">
      <c r="A204" s="21" t="s">
        <v>222</v>
      </c>
      <c r="B204" s="21" t="s">
        <v>244</v>
      </c>
      <c r="C204" s="21" t="s">
        <v>245</v>
      </c>
      <c r="D204" s="21" t="s">
        <v>140</v>
      </c>
      <c r="E204" s="21" t="s">
        <v>141</v>
      </c>
      <c r="F204" s="22">
        <v>98267</v>
      </c>
      <c r="G204" s="21" t="s">
        <v>142</v>
      </c>
      <c r="H204" s="23">
        <v>1000</v>
      </c>
      <c r="I204" s="21" t="s">
        <v>143</v>
      </c>
      <c r="J204" s="21" t="s">
        <v>144</v>
      </c>
      <c r="K204" s="21" t="s">
        <v>225</v>
      </c>
      <c r="L204" s="21" t="s">
        <v>217</v>
      </c>
      <c r="M204" s="23" t="s">
        <v>147</v>
      </c>
      <c r="N204" s="24" t="s">
        <v>225</v>
      </c>
    </row>
    <row r="205" spans="1:14" ht="15" customHeight="1" x14ac:dyDescent="0.3">
      <c r="A205" s="25" t="s">
        <v>222</v>
      </c>
      <c r="B205" s="25" t="s">
        <v>246</v>
      </c>
      <c r="C205" s="25" t="s">
        <v>247</v>
      </c>
      <c r="D205" s="25" t="s">
        <v>140</v>
      </c>
      <c r="E205" s="25" t="s">
        <v>141</v>
      </c>
      <c r="F205" s="26">
        <v>7818</v>
      </c>
      <c r="G205" s="25" t="s">
        <v>142</v>
      </c>
      <c r="H205" s="27">
        <v>1000</v>
      </c>
      <c r="I205" s="25" t="s">
        <v>143</v>
      </c>
      <c r="J205" s="25" t="s">
        <v>144</v>
      </c>
      <c r="K205" s="25" t="s">
        <v>225</v>
      </c>
      <c r="L205" s="25" t="s">
        <v>217</v>
      </c>
      <c r="M205" s="27" t="s">
        <v>147</v>
      </c>
      <c r="N205" s="28" t="s">
        <v>225</v>
      </c>
    </row>
    <row r="206" spans="1:14" ht="15" customHeight="1" x14ac:dyDescent="0.3">
      <c r="A206" s="21" t="s">
        <v>222</v>
      </c>
      <c r="B206" s="21" t="s">
        <v>248</v>
      </c>
      <c r="C206" s="21" t="s">
        <v>249</v>
      </c>
      <c r="D206" s="21" t="s">
        <v>140</v>
      </c>
      <c r="E206" s="21" t="s">
        <v>141</v>
      </c>
      <c r="F206" s="22">
        <v>113</v>
      </c>
      <c r="G206" s="21" t="s">
        <v>142</v>
      </c>
      <c r="H206" s="23">
        <v>1000</v>
      </c>
      <c r="I206" s="21" t="s">
        <v>143</v>
      </c>
      <c r="J206" s="21" t="s">
        <v>144</v>
      </c>
      <c r="K206" s="21" t="s">
        <v>225</v>
      </c>
      <c r="L206" s="21" t="s">
        <v>217</v>
      </c>
      <c r="M206" s="23" t="s">
        <v>147</v>
      </c>
      <c r="N206" s="24" t="s">
        <v>225</v>
      </c>
    </row>
    <row r="207" spans="1:14" ht="15" customHeight="1" x14ac:dyDescent="0.3">
      <c r="A207" s="25" t="s">
        <v>222</v>
      </c>
      <c r="B207" s="25" t="s">
        <v>250</v>
      </c>
      <c r="C207" s="25" t="s">
        <v>251</v>
      </c>
      <c r="D207" s="25" t="s">
        <v>140</v>
      </c>
      <c r="E207" s="25" t="s">
        <v>141</v>
      </c>
      <c r="F207" s="26">
        <v>12933</v>
      </c>
      <c r="G207" s="25" t="s">
        <v>142</v>
      </c>
      <c r="H207" s="27">
        <v>1000</v>
      </c>
      <c r="I207" s="25" t="s">
        <v>143</v>
      </c>
      <c r="J207" s="25" t="s">
        <v>144</v>
      </c>
      <c r="K207" s="25" t="s">
        <v>225</v>
      </c>
      <c r="L207" s="25" t="s">
        <v>217</v>
      </c>
      <c r="M207" s="27" t="s">
        <v>147</v>
      </c>
      <c r="N207" s="28" t="s">
        <v>225</v>
      </c>
    </row>
    <row r="208" spans="1:14" ht="15" customHeight="1" x14ac:dyDescent="0.3">
      <c r="A208" s="21" t="s">
        <v>222</v>
      </c>
      <c r="B208" s="21" t="s">
        <v>252</v>
      </c>
      <c r="C208" s="21" t="s">
        <v>253</v>
      </c>
      <c r="D208" s="21" t="s">
        <v>140</v>
      </c>
      <c r="E208" s="21" t="s">
        <v>141</v>
      </c>
      <c r="F208" s="22">
        <v>119131</v>
      </c>
      <c r="G208" s="21" t="s">
        <v>142</v>
      </c>
      <c r="H208" s="23">
        <v>1000</v>
      </c>
      <c r="I208" s="21" t="s">
        <v>143</v>
      </c>
      <c r="J208" s="21" t="s">
        <v>144</v>
      </c>
      <c r="K208" s="21" t="s">
        <v>225</v>
      </c>
      <c r="L208" s="21" t="s">
        <v>217</v>
      </c>
      <c r="M208" s="23" t="s">
        <v>147</v>
      </c>
      <c r="N208" s="24" t="s">
        <v>225</v>
      </c>
    </row>
    <row r="209" spans="1:14" ht="15" customHeight="1" x14ac:dyDescent="0.3">
      <c r="A209" s="25" t="s">
        <v>222</v>
      </c>
      <c r="B209" s="25" t="s">
        <v>254</v>
      </c>
      <c r="C209" s="25" t="s">
        <v>255</v>
      </c>
      <c r="D209" s="25" t="s">
        <v>140</v>
      </c>
      <c r="E209" s="25" t="s">
        <v>141</v>
      </c>
      <c r="F209" s="26">
        <v>29124</v>
      </c>
      <c r="G209" s="25" t="s">
        <v>142</v>
      </c>
      <c r="H209" s="27">
        <v>1000</v>
      </c>
      <c r="I209" s="25" t="s">
        <v>143</v>
      </c>
      <c r="J209" s="25" t="s">
        <v>144</v>
      </c>
      <c r="K209" s="25" t="s">
        <v>225</v>
      </c>
      <c r="L209" s="25" t="s">
        <v>217</v>
      </c>
      <c r="M209" s="27" t="s">
        <v>147</v>
      </c>
      <c r="N209" s="28" t="s">
        <v>225</v>
      </c>
    </row>
    <row r="210" spans="1:14" ht="15" customHeight="1" x14ac:dyDescent="0.3">
      <c r="A210" s="21" t="s">
        <v>222</v>
      </c>
      <c r="B210" s="21" t="s">
        <v>256</v>
      </c>
      <c r="C210" s="21" t="s">
        <v>257</v>
      </c>
      <c r="D210" s="21" t="s">
        <v>140</v>
      </c>
      <c r="E210" s="21" t="s">
        <v>141</v>
      </c>
      <c r="F210" s="22">
        <v>148255</v>
      </c>
      <c r="G210" s="21" t="s">
        <v>142</v>
      </c>
      <c r="H210" s="23">
        <v>1000</v>
      </c>
      <c r="I210" s="21" t="s">
        <v>143</v>
      </c>
      <c r="J210" s="21" t="s">
        <v>144</v>
      </c>
      <c r="K210" s="21" t="s">
        <v>225</v>
      </c>
      <c r="L210" s="21" t="s">
        <v>217</v>
      </c>
      <c r="M210" s="23" t="s">
        <v>147</v>
      </c>
      <c r="N210" s="24" t="s">
        <v>225</v>
      </c>
    </row>
    <row r="211" spans="1:14" ht="15" customHeight="1" x14ac:dyDescent="0.3">
      <c r="A211" s="25" t="s">
        <v>222</v>
      </c>
      <c r="B211" s="25" t="s">
        <v>258</v>
      </c>
      <c r="C211" s="25" t="s">
        <v>259</v>
      </c>
      <c r="D211" s="25" t="s">
        <v>140</v>
      </c>
      <c r="E211" s="25" t="s">
        <v>141</v>
      </c>
      <c r="F211" s="26">
        <v>4</v>
      </c>
      <c r="G211" s="25" t="s">
        <v>142</v>
      </c>
      <c r="H211" s="27">
        <v>1000</v>
      </c>
      <c r="I211" s="25" t="s">
        <v>143</v>
      </c>
      <c r="J211" s="25" t="s">
        <v>144</v>
      </c>
      <c r="K211" s="25" t="s">
        <v>225</v>
      </c>
      <c r="L211" s="25" t="s">
        <v>217</v>
      </c>
      <c r="M211" s="27" t="s">
        <v>147</v>
      </c>
      <c r="N211" s="28" t="s">
        <v>225</v>
      </c>
    </row>
    <row r="212" spans="1:14" ht="15" customHeight="1" x14ac:dyDescent="0.3">
      <c r="A212" s="21" t="s">
        <v>222</v>
      </c>
      <c r="B212" s="21" t="s">
        <v>260</v>
      </c>
      <c r="C212" s="21" t="s">
        <v>261</v>
      </c>
      <c r="D212" s="21" t="s">
        <v>140</v>
      </c>
      <c r="E212" s="21" t="s">
        <v>141</v>
      </c>
      <c r="F212" s="22">
        <v>683966</v>
      </c>
      <c r="G212" s="21" t="s">
        <v>142</v>
      </c>
      <c r="H212" s="23">
        <v>1000</v>
      </c>
      <c r="I212" s="21" t="s">
        <v>143</v>
      </c>
      <c r="J212" s="21" t="s">
        <v>144</v>
      </c>
      <c r="K212" s="21" t="s">
        <v>225</v>
      </c>
      <c r="L212" s="21" t="s">
        <v>217</v>
      </c>
      <c r="M212" s="23" t="s">
        <v>147</v>
      </c>
      <c r="N212" s="24" t="s">
        <v>225</v>
      </c>
    </row>
    <row r="213" spans="1:14" ht="15" customHeight="1" x14ac:dyDescent="0.3">
      <c r="A213" s="25" t="s">
        <v>222</v>
      </c>
      <c r="B213" s="25" t="s">
        <v>262</v>
      </c>
      <c r="C213" s="25" t="s">
        <v>263</v>
      </c>
      <c r="D213" s="25" t="s">
        <v>140</v>
      </c>
      <c r="E213" s="25" t="s">
        <v>141</v>
      </c>
      <c r="F213" s="26">
        <v>-170914</v>
      </c>
      <c r="G213" s="25" t="s">
        <v>142</v>
      </c>
      <c r="H213" s="27">
        <v>1000</v>
      </c>
      <c r="I213" s="25" t="s">
        <v>143</v>
      </c>
      <c r="J213" s="25" t="s">
        <v>144</v>
      </c>
      <c r="K213" s="25" t="s">
        <v>225</v>
      </c>
      <c r="L213" s="25" t="s">
        <v>217</v>
      </c>
      <c r="M213" s="27" t="s">
        <v>147</v>
      </c>
      <c r="N213" s="28" t="s">
        <v>225</v>
      </c>
    </row>
    <row r="214" spans="1:14" ht="15" customHeight="1" x14ac:dyDescent="0.3">
      <c r="A214" s="21" t="s">
        <v>222</v>
      </c>
      <c r="B214" s="21" t="s">
        <v>264</v>
      </c>
      <c r="C214" s="21" t="s">
        <v>265</v>
      </c>
      <c r="D214" s="21" t="s">
        <v>140</v>
      </c>
      <c r="E214" s="21" t="s">
        <v>141</v>
      </c>
      <c r="F214" s="22">
        <v>513056</v>
      </c>
      <c r="G214" s="21" t="s">
        <v>142</v>
      </c>
      <c r="H214" s="23">
        <v>1000</v>
      </c>
      <c r="I214" s="21" t="s">
        <v>143</v>
      </c>
      <c r="J214" s="21" t="s">
        <v>144</v>
      </c>
      <c r="K214" s="21" t="s">
        <v>225</v>
      </c>
      <c r="L214" s="21" t="s">
        <v>217</v>
      </c>
      <c r="M214" s="23" t="s">
        <v>147</v>
      </c>
      <c r="N214" s="24" t="s">
        <v>225</v>
      </c>
    </row>
    <row r="215" spans="1:14" ht="15" customHeight="1" x14ac:dyDescent="0.3">
      <c r="A215" s="25" t="s">
        <v>222</v>
      </c>
      <c r="B215" s="25" t="s">
        <v>266</v>
      </c>
      <c r="C215" s="25" t="s">
        <v>267</v>
      </c>
      <c r="D215" s="25" t="s">
        <v>140</v>
      </c>
      <c r="E215" s="25" t="s">
        <v>141</v>
      </c>
      <c r="F215" s="26">
        <v>661311</v>
      </c>
      <c r="G215" s="25" t="s">
        <v>142</v>
      </c>
      <c r="H215" s="27">
        <v>1000</v>
      </c>
      <c r="I215" s="25" t="s">
        <v>143</v>
      </c>
      <c r="J215" s="25" t="s">
        <v>144</v>
      </c>
      <c r="K215" s="25" t="s">
        <v>225</v>
      </c>
      <c r="L215" s="25" t="s">
        <v>217</v>
      </c>
      <c r="M215" s="27" t="s">
        <v>147</v>
      </c>
      <c r="N215" s="28" t="s">
        <v>225</v>
      </c>
    </row>
    <row r="216" spans="1:14" ht="15" customHeight="1" x14ac:dyDescent="0.3">
      <c r="A216" s="21" t="s">
        <v>222</v>
      </c>
      <c r="B216" s="21" t="s">
        <v>223</v>
      </c>
      <c r="C216" s="21" t="s">
        <v>224</v>
      </c>
      <c r="D216" s="21" t="s">
        <v>189</v>
      </c>
      <c r="E216" s="21" t="s">
        <v>141</v>
      </c>
      <c r="F216" s="22">
        <v>608180</v>
      </c>
      <c r="G216" s="21" t="s">
        <v>142</v>
      </c>
      <c r="H216" s="23">
        <v>1000</v>
      </c>
      <c r="I216" s="21" t="s">
        <v>143</v>
      </c>
      <c r="J216" s="21" t="s">
        <v>190</v>
      </c>
      <c r="K216" s="21" t="s">
        <v>225</v>
      </c>
      <c r="L216" s="21" t="s">
        <v>146</v>
      </c>
      <c r="M216" s="23" t="s">
        <v>147</v>
      </c>
      <c r="N216" s="24" t="s">
        <v>225</v>
      </c>
    </row>
    <row r="217" spans="1:14" ht="15" customHeight="1" x14ac:dyDescent="0.3">
      <c r="A217" s="25" t="s">
        <v>222</v>
      </c>
      <c r="B217" s="25" t="s">
        <v>226</v>
      </c>
      <c r="C217" s="25" t="s">
        <v>227</v>
      </c>
      <c r="D217" s="25" t="s">
        <v>189</v>
      </c>
      <c r="E217" s="25" t="s">
        <v>141</v>
      </c>
      <c r="F217" s="26">
        <v>46728</v>
      </c>
      <c r="G217" s="25" t="s">
        <v>142</v>
      </c>
      <c r="H217" s="27">
        <v>1000</v>
      </c>
      <c r="I217" s="25" t="s">
        <v>143</v>
      </c>
      <c r="J217" s="25" t="s">
        <v>190</v>
      </c>
      <c r="K217" s="25" t="s">
        <v>225</v>
      </c>
      <c r="L217" s="25" t="s">
        <v>146</v>
      </c>
      <c r="M217" s="27" t="s">
        <v>147</v>
      </c>
      <c r="N217" s="28" t="s">
        <v>225</v>
      </c>
    </row>
    <row r="218" spans="1:14" ht="15" customHeight="1" x14ac:dyDescent="0.3">
      <c r="A218" s="21" t="s">
        <v>222</v>
      </c>
      <c r="B218" s="21" t="s">
        <v>228</v>
      </c>
      <c r="C218" s="21" t="s">
        <v>229</v>
      </c>
      <c r="D218" s="21" t="s">
        <v>189</v>
      </c>
      <c r="E218" s="21" t="s">
        <v>141</v>
      </c>
      <c r="F218" s="22">
        <v>35041</v>
      </c>
      <c r="G218" s="21" t="s">
        <v>142</v>
      </c>
      <c r="H218" s="23">
        <v>1000</v>
      </c>
      <c r="I218" s="21" t="s">
        <v>143</v>
      </c>
      <c r="J218" s="21" t="s">
        <v>190</v>
      </c>
      <c r="K218" s="21" t="s">
        <v>225</v>
      </c>
      <c r="L218" s="21" t="s">
        <v>146</v>
      </c>
      <c r="M218" s="23" t="s">
        <v>147</v>
      </c>
      <c r="N218" s="24" t="s">
        <v>225</v>
      </c>
    </row>
    <row r="219" spans="1:14" ht="15" customHeight="1" x14ac:dyDescent="0.3">
      <c r="A219" s="25" t="s">
        <v>222</v>
      </c>
      <c r="B219" s="25" t="s">
        <v>230</v>
      </c>
      <c r="C219" s="25" t="s">
        <v>231</v>
      </c>
      <c r="D219" s="25" t="s">
        <v>189</v>
      </c>
      <c r="E219" s="25" t="s">
        <v>141</v>
      </c>
      <c r="F219" s="26">
        <v>7234</v>
      </c>
      <c r="G219" s="25" t="s">
        <v>142</v>
      </c>
      <c r="H219" s="27">
        <v>1000</v>
      </c>
      <c r="I219" s="25" t="s">
        <v>143</v>
      </c>
      <c r="J219" s="25" t="s">
        <v>190</v>
      </c>
      <c r="K219" s="25" t="s">
        <v>225</v>
      </c>
      <c r="L219" s="25" t="s">
        <v>146</v>
      </c>
      <c r="M219" s="27" t="s">
        <v>147</v>
      </c>
      <c r="N219" s="28" t="s">
        <v>225</v>
      </c>
    </row>
    <row r="220" spans="1:14" ht="15" customHeight="1" x14ac:dyDescent="0.3">
      <c r="A220" s="21" t="s">
        <v>222</v>
      </c>
      <c r="B220" s="21" t="s">
        <v>232</v>
      </c>
      <c r="C220" s="21" t="s">
        <v>233</v>
      </c>
      <c r="D220" s="21" t="s">
        <v>189</v>
      </c>
      <c r="E220" s="21" t="s">
        <v>141</v>
      </c>
      <c r="F220" s="22">
        <v>697183</v>
      </c>
      <c r="G220" s="21" t="s">
        <v>142</v>
      </c>
      <c r="H220" s="23">
        <v>1000</v>
      </c>
      <c r="I220" s="21" t="s">
        <v>143</v>
      </c>
      <c r="J220" s="21" t="s">
        <v>190</v>
      </c>
      <c r="K220" s="21" t="s">
        <v>225</v>
      </c>
      <c r="L220" s="21" t="s">
        <v>146</v>
      </c>
      <c r="M220" s="23" t="s">
        <v>147</v>
      </c>
      <c r="N220" s="24" t="s">
        <v>225</v>
      </c>
    </row>
    <row r="221" spans="1:14" ht="15" customHeight="1" x14ac:dyDescent="0.3">
      <c r="A221" s="25" t="s">
        <v>222</v>
      </c>
      <c r="B221" s="25" t="s">
        <v>234</v>
      </c>
      <c r="C221" s="25" t="s">
        <v>235</v>
      </c>
      <c r="D221" s="25" t="s">
        <v>189</v>
      </c>
      <c r="E221" s="25" t="s">
        <v>141</v>
      </c>
      <c r="F221" s="26">
        <v>22508</v>
      </c>
      <c r="G221" s="25" t="s">
        <v>142</v>
      </c>
      <c r="H221" s="27">
        <v>1000</v>
      </c>
      <c r="I221" s="25" t="s">
        <v>143</v>
      </c>
      <c r="J221" s="25" t="s">
        <v>190</v>
      </c>
      <c r="K221" s="25" t="s">
        <v>225</v>
      </c>
      <c r="L221" s="25" t="s">
        <v>146</v>
      </c>
      <c r="M221" s="27" t="s">
        <v>147</v>
      </c>
      <c r="N221" s="28" t="s">
        <v>225</v>
      </c>
    </row>
    <row r="222" spans="1:14" ht="15" customHeight="1" x14ac:dyDescent="0.3">
      <c r="A222" s="21" t="s">
        <v>222</v>
      </c>
      <c r="B222" s="21" t="s">
        <v>268</v>
      </c>
      <c r="C222" s="21" t="s">
        <v>269</v>
      </c>
      <c r="D222" s="21" t="s">
        <v>189</v>
      </c>
      <c r="E222" s="21" t="s">
        <v>141</v>
      </c>
      <c r="F222" s="22">
        <v>8497</v>
      </c>
      <c r="G222" s="21" t="s">
        <v>142</v>
      </c>
      <c r="H222" s="23">
        <v>1000</v>
      </c>
      <c r="I222" s="21" t="s">
        <v>143</v>
      </c>
      <c r="J222" s="21" t="s">
        <v>190</v>
      </c>
      <c r="K222" s="21" t="s">
        <v>225</v>
      </c>
      <c r="L222" s="21" t="s">
        <v>146</v>
      </c>
      <c r="M222" s="23" t="s">
        <v>147</v>
      </c>
      <c r="N222" s="24" t="s">
        <v>225</v>
      </c>
    </row>
    <row r="223" spans="1:14" ht="15" customHeight="1" x14ac:dyDescent="0.3">
      <c r="A223" s="25" t="s">
        <v>222</v>
      </c>
      <c r="B223" s="25" t="s">
        <v>236</v>
      </c>
      <c r="C223" s="25" t="s">
        <v>237</v>
      </c>
      <c r="D223" s="25" t="s">
        <v>189</v>
      </c>
      <c r="E223" s="25" t="s">
        <v>141</v>
      </c>
      <c r="F223" s="26">
        <v>12969</v>
      </c>
      <c r="G223" s="25" t="s">
        <v>142</v>
      </c>
      <c r="H223" s="27">
        <v>1000</v>
      </c>
      <c r="I223" s="25" t="s">
        <v>143</v>
      </c>
      <c r="J223" s="25" t="s">
        <v>190</v>
      </c>
      <c r="K223" s="25" t="s">
        <v>225</v>
      </c>
      <c r="L223" s="25" t="s">
        <v>146</v>
      </c>
      <c r="M223" s="27" t="s">
        <v>147</v>
      </c>
      <c r="N223" s="28" t="s">
        <v>225</v>
      </c>
    </row>
    <row r="224" spans="1:14" ht="15" customHeight="1" x14ac:dyDescent="0.3">
      <c r="A224" s="21" t="s">
        <v>222</v>
      </c>
      <c r="B224" s="21" t="s">
        <v>270</v>
      </c>
      <c r="C224" s="21" t="s">
        <v>271</v>
      </c>
      <c r="D224" s="21" t="s">
        <v>189</v>
      </c>
      <c r="E224" s="21" t="s">
        <v>141</v>
      </c>
      <c r="F224" s="22">
        <v>4050</v>
      </c>
      <c r="G224" s="21" t="s">
        <v>142</v>
      </c>
      <c r="H224" s="23">
        <v>1000</v>
      </c>
      <c r="I224" s="21" t="s">
        <v>143</v>
      </c>
      <c r="J224" s="21" t="s">
        <v>190</v>
      </c>
      <c r="K224" s="21" t="s">
        <v>225</v>
      </c>
      <c r="L224" s="21" t="s">
        <v>146</v>
      </c>
      <c r="M224" s="23" t="s">
        <v>147</v>
      </c>
      <c r="N224" s="24" t="s">
        <v>225</v>
      </c>
    </row>
    <row r="225" spans="1:14" ht="15" customHeight="1" x14ac:dyDescent="0.3">
      <c r="A225" s="25" t="s">
        <v>222</v>
      </c>
      <c r="B225" s="25" t="s">
        <v>272</v>
      </c>
      <c r="C225" s="25" t="s">
        <v>273</v>
      </c>
      <c r="D225" s="25" t="s">
        <v>189</v>
      </c>
      <c r="E225" s="25" t="s">
        <v>141</v>
      </c>
      <c r="F225" s="26">
        <v>633</v>
      </c>
      <c r="G225" s="25" t="s">
        <v>142</v>
      </c>
      <c r="H225" s="27">
        <v>1000</v>
      </c>
      <c r="I225" s="25" t="s">
        <v>143</v>
      </c>
      <c r="J225" s="25" t="s">
        <v>190</v>
      </c>
      <c r="K225" s="25" t="s">
        <v>225</v>
      </c>
      <c r="L225" s="25" t="s">
        <v>146</v>
      </c>
      <c r="M225" s="27" t="s">
        <v>147</v>
      </c>
      <c r="N225" s="28" t="s">
        <v>225</v>
      </c>
    </row>
    <row r="226" spans="1:14" ht="15" customHeight="1" x14ac:dyDescent="0.3">
      <c r="A226" s="21" t="s">
        <v>222</v>
      </c>
      <c r="B226" s="21" t="s">
        <v>240</v>
      </c>
      <c r="C226" s="21" t="s">
        <v>241</v>
      </c>
      <c r="D226" s="21" t="s">
        <v>189</v>
      </c>
      <c r="E226" s="21" t="s">
        <v>141</v>
      </c>
      <c r="F226" s="22">
        <v>1507</v>
      </c>
      <c r="G226" s="21" t="s">
        <v>142</v>
      </c>
      <c r="H226" s="23">
        <v>1000</v>
      </c>
      <c r="I226" s="21" t="s">
        <v>143</v>
      </c>
      <c r="J226" s="21" t="s">
        <v>190</v>
      </c>
      <c r="K226" s="21" t="s">
        <v>225</v>
      </c>
      <c r="L226" s="21" t="s">
        <v>146</v>
      </c>
      <c r="M226" s="23" t="s">
        <v>147</v>
      </c>
      <c r="N226" s="24" t="s">
        <v>225</v>
      </c>
    </row>
    <row r="227" spans="1:14" ht="15" customHeight="1" x14ac:dyDescent="0.3">
      <c r="A227" s="25" t="s">
        <v>222</v>
      </c>
      <c r="B227" s="25" t="s">
        <v>242</v>
      </c>
      <c r="C227" s="25" t="s">
        <v>243</v>
      </c>
      <c r="D227" s="25" t="s">
        <v>189</v>
      </c>
      <c r="E227" s="25" t="s">
        <v>141</v>
      </c>
      <c r="F227" s="26">
        <v>747347</v>
      </c>
      <c r="G227" s="25" t="s">
        <v>142</v>
      </c>
      <c r="H227" s="27">
        <v>1000</v>
      </c>
      <c r="I227" s="25" t="s">
        <v>143</v>
      </c>
      <c r="J227" s="25" t="s">
        <v>190</v>
      </c>
      <c r="K227" s="25" t="s">
        <v>225</v>
      </c>
      <c r="L227" s="25" t="s">
        <v>146</v>
      </c>
      <c r="M227" s="27" t="s">
        <v>147</v>
      </c>
      <c r="N227" s="28" t="s">
        <v>225</v>
      </c>
    </row>
    <row r="228" spans="1:14" ht="15" customHeight="1" x14ac:dyDescent="0.3">
      <c r="A228" s="21" t="s">
        <v>222</v>
      </c>
      <c r="B228" s="21" t="s">
        <v>244</v>
      </c>
      <c r="C228" s="21" t="s">
        <v>245</v>
      </c>
      <c r="D228" s="21" t="s">
        <v>189</v>
      </c>
      <c r="E228" s="21" t="s">
        <v>141</v>
      </c>
      <c r="F228" s="22">
        <v>157550</v>
      </c>
      <c r="G228" s="21" t="s">
        <v>142</v>
      </c>
      <c r="H228" s="23">
        <v>1000</v>
      </c>
      <c r="I228" s="21" t="s">
        <v>143</v>
      </c>
      <c r="J228" s="21" t="s">
        <v>190</v>
      </c>
      <c r="K228" s="21" t="s">
        <v>225</v>
      </c>
      <c r="L228" s="21" t="s">
        <v>146</v>
      </c>
      <c r="M228" s="23" t="s">
        <v>147</v>
      </c>
      <c r="N228" s="24" t="s">
        <v>225</v>
      </c>
    </row>
    <row r="229" spans="1:14" ht="15" customHeight="1" x14ac:dyDescent="0.3">
      <c r="A229" s="25" t="s">
        <v>222</v>
      </c>
      <c r="B229" s="25" t="s">
        <v>246</v>
      </c>
      <c r="C229" s="25" t="s">
        <v>247</v>
      </c>
      <c r="D229" s="25" t="s">
        <v>189</v>
      </c>
      <c r="E229" s="25" t="s">
        <v>141</v>
      </c>
      <c r="F229" s="26">
        <v>1177</v>
      </c>
      <c r="G229" s="25" t="s">
        <v>142</v>
      </c>
      <c r="H229" s="27">
        <v>1000</v>
      </c>
      <c r="I229" s="25" t="s">
        <v>143</v>
      </c>
      <c r="J229" s="25" t="s">
        <v>190</v>
      </c>
      <c r="K229" s="25" t="s">
        <v>225</v>
      </c>
      <c r="L229" s="25" t="s">
        <v>146</v>
      </c>
      <c r="M229" s="27" t="s">
        <v>147</v>
      </c>
      <c r="N229" s="28" t="s">
        <v>225</v>
      </c>
    </row>
    <row r="230" spans="1:14" ht="15" customHeight="1" x14ac:dyDescent="0.3">
      <c r="A230" s="21" t="s">
        <v>222</v>
      </c>
      <c r="B230" s="21" t="s">
        <v>248</v>
      </c>
      <c r="C230" s="21" t="s">
        <v>249</v>
      </c>
      <c r="D230" s="21" t="s">
        <v>189</v>
      </c>
      <c r="E230" s="21" t="s">
        <v>141</v>
      </c>
      <c r="F230" s="22">
        <v>1069</v>
      </c>
      <c r="G230" s="21" t="s">
        <v>142</v>
      </c>
      <c r="H230" s="23">
        <v>1000</v>
      </c>
      <c r="I230" s="21" t="s">
        <v>143</v>
      </c>
      <c r="J230" s="21" t="s">
        <v>190</v>
      </c>
      <c r="K230" s="21" t="s">
        <v>225</v>
      </c>
      <c r="L230" s="21" t="s">
        <v>146</v>
      </c>
      <c r="M230" s="23" t="s">
        <v>147</v>
      </c>
      <c r="N230" s="24" t="s">
        <v>225</v>
      </c>
    </row>
    <row r="231" spans="1:14" ht="15" customHeight="1" x14ac:dyDescent="0.3">
      <c r="A231" s="25" t="s">
        <v>222</v>
      </c>
      <c r="B231" s="25" t="s">
        <v>250</v>
      </c>
      <c r="C231" s="25" t="s">
        <v>251</v>
      </c>
      <c r="D231" s="25" t="s">
        <v>189</v>
      </c>
      <c r="E231" s="25" t="s">
        <v>141</v>
      </c>
      <c r="F231" s="26">
        <v>21970</v>
      </c>
      <c r="G231" s="25" t="s">
        <v>142</v>
      </c>
      <c r="H231" s="27">
        <v>1000</v>
      </c>
      <c r="I231" s="25" t="s">
        <v>143</v>
      </c>
      <c r="J231" s="25" t="s">
        <v>190</v>
      </c>
      <c r="K231" s="25" t="s">
        <v>225</v>
      </c>
      <c r="L231" s="25" t="s">
        <v>146</v>
      </c>
      <c r="M231" s="27" t="s">
        <v>147</v>
      </c>
      <c r="N231" s="28" t="s">
        <v>225</v>
      </c>
    </row>
    <row r="232" spans="1:14" ht="15" customHeight="1" x14ac:dyDescent="0.3">
      <c r="A232" s="21" t="s">
        <v>222</v>
      </c>
      <c r="B232" s="21" t="s">
        <v>252</v>
      </c>
      <c r="C232" s="21" t="s">
        <v>253</v>
      </c>
      <c r="D232" s="21" t="s">
        <v>189</v>
      </c>
      <c r="E232" s="21" t="s">
        <v>141</v>
      </c>
      <c r="F232" s="22">
        <v>181766</v>
      </c>
      <c r="G232" s="21" t="s">
        <v>142</v>
      </c>
      <c r="H232" s="23">
        <v>1000</v>
      </c>
      <c r="I232" s="21" t="s">
        <v>143</v>
      </c>
      <c r="J232" s="21" t="s">
        <v>190</v>
      </c>
      <c r="K232" s="21" t="s">
        <v>225</v>
      </c>
      <c r="L232" s="21" t="s">
        <v>146</v>
      </c>
      <c r="M232" s="23" t="s">
        <v>147</v>
      </c>
      <c r="N232" s="24" t="s">
        <v>225</v>
      </c>
    </row>
    <row r="233" spans="1:14" ht="15" customHeight="1" x14ac:dyDescent="0.3">
      <c r="A233" s="25" t="s">
        <v>222</v>
      </c>
      <c r="B233" s="25" t="s">
        <v>254</v>
      </c>
      <c r="C233" s="25" t="s">
        <v>255</v>
      </c>
      <c r="D233" s="25" t="s">
        <v>189</v>
      </c>
      <c r="E233" s="25" t="s">
        <v>141</v>
      </c>
      <c r="F233" s="26">
        <v>23503</v>
      </c>
      <c r="G233" s="25" t="s">
        <v>142</v>
      </c>
      <c r="H233" s="27">
        <v>1000</v>
      </c>
      <c r="I233" s="25" t="s">
        <v>143</v>
      </c>
      <c r="J233" s="25" t="s">
        <v>190</v>
      </c>
      <c r="K233" s="25" t="s">
        <v>225</v>
      </c>
      <c r="L233" s="25" t="s">
        <v>146</v>
      </c>
      <c r="M233" s="27" t="s">
        <v>147</v>
      </c>
      <c r="N233" s="28" t="s">
        <v>225</v>
      </c>
    </row>
    <row r="234" spans="1:14" ht="15" customHeight="1" x14ac:dyDescent="0.3">
      <c r="A234" s="21" t="s">
        <v>222</v>
      </c>
      <c r="B234" s="21" t="s">
        <v>256</v>
      </c>
      <c r="C234" s="21" t="s">
        <v>257</v>
      </c>
      <c r="D234" s="21" t="s">
        <v>189</v>
      </c>
      <c r="E234" s="21" t="s">
        <v>141</v>
      </c>
      <c r="F234" s="22">
        <v>205269</v>
      </c>
      <c r="G234" s="21" t="s">
        <v>142</v>
      </c>
      <c r="H234" s="23">
        <v>1000</v>
      </c>
      <c r="I234" s="21" t="s">
        <v>143</v>
      </c>
      <c r="J234" s="21" t="s">
        <v>190</v>
      </c>
      <c r="K234" s="21" t="s">
        <v>225</v>
      </c>
      <c r="L234" s="21" t="s">
        <v>146</v>
      </c>
      <c r="M234" s="23" t="s">
        <v>147</v>
      </c>
      <c r="N234" s="24" t="s">
        <v>225</v>
      </c>
    </row>
    <row r="235" spans="1:14" ht="15" customHeight="1" x14ac:dyDescent="0.3">
      <c r="A235" s="25" t="s">
        <v>222</v>
      </c>
      <c r="B235" s="25" t="s">
        <v>258</v>
      </c>
      <c r="C235" s="25" t="s">
        <v>259</v>
      </c>
      <c r="D235" s="25" t="s">
        <v>189</v>
      </c>
      <c r="E235" s="25" t="s">
        <v>141</v>
      </c>
      <c r="F235" s="26">
        <v>4</v>
      </c>
      <c r="G235" s="25" t="s">
        <v>142</v>
      </c>
      <c r="H235" s="27">
        <v>1000</v>
      </c>
      <c r="I235" s="25" t="s">
        <v>143</v>
      </c>
      <c r="J235" s="25" t="s">
        <v>190</v>
      </c>
      <c r="K235" s="25" t="s">
        <v>225</v>
      </c>
      <c r="L235" s="25" t="s">
        <v>146</v>
      </c>
      <c r="M235" s="27" t="s">
        <v>147</v>
      </c>
      <c r="N235" s="28" t="s">
        <v>225</v>
      </c>
    </row>
    <row r="236" spans="1:14" ht="15" customHeight="1" x14ac:dyDescent="0.3">
      <c r="A236" s="21" t="s">
        <v>222</v>
      </c>
      <c r="B236" s="21" t="s">
        <v>260</v>
      </c>
      <c r="C236" s="21" t="s">
        <v>261</v>
      </c>
      <c r="D236" s="21" t="s">
        <v>189</v>
      </c>
      <c r="E236" s="21" t="s">
        <v>141</v>
      </c>
      <c r="F236" s="22">
        <v>772562</v>
      </c>
      <c r="G236" s="21" t="s">
        <v>142</v>
      </c>
      <c r="H236" s="23">
        <v>1000</v>
      </c>
      <c r="I236" s="21" t="s">
        <v>143</v>
      </c>
      <c r="J236" s="21" t="s">
        <v>190</v>
      </c>
      <c r="K236" s="21" t="s">
        <v>225</v>
      </c>
      <c r="L236" s="21" t="s">
        <v>146</v>
      </c>
      <c r="M236" s="23" t="s">
        <v>147</v>
      </c>
      <c r="N236" s="24" t="s">
        <v>225</v>
      </c>
    </row>
    <row r="237" spans="1:14" ht="15" customHeight="1" x14ac:dyDescent="0.3">
      <c r="A237" s="25" t="s">
        <v>222</v>
      </c>
      <c r="B237" s="25" t="s">
        <v>262</v>
      </c>
      <c r="C237" s="25" t="s">
        <v>263</v>
      </c>
      <c r="D237" s="25" t="s">
        <v>189</v>
      </c>
      <c r="E237" s="25" t="s">
        <v>141</v>
      </c>
      <c r="F237" s="26">
        <v>-230488</v>
      </c>
      <c r="G237" s="25" t="s">
        <v>142</v>
      </c>
      <c r="H237" s="27">
        <v>1000</v>
      </c>
      <c r="I237" s="25" t="s">
        <v>143</v>
      </c>
      <c r="J237" s="25" t="s">
        <v>190</v>
      </c>
      <c r="K237" s="25" t="s">
        <v>225</v>
      </c>
      <c r="L237" s="25" t="s">
        <v>146</v>
      </c>
      <c r="M237" s="27" t="s">
        <v>147</v>
      </c>
      <c r="N237" s="28" t="s">
        <v>225</v>
      </c>
    </row>
    <row r="238" spans="1:14" ht="15" customHeight="1" x14ac:dyDescent="0.3">
      <c r="A238" s="21" t="s">
        <v>222</v>
      </c>
      <c r="B238" s="21" t="s">
        <v>264</v>
      </c>
      <c r="C238" s="21" t="s">
        <v>265</v>
      </c>
      <c r="D238" s="21" t="s">
        <v>189</v>
      </c>
      <c r="E238" s="21" t="s">
        <v>141</v>
      </c>
      <c r="F238" s="22">
        <v>542078</v>
      </c>
      <c r="G238" s="21" t="s">
        <v>142</v>
      </c>
      <c r="H238" s="23">
        <v>1000</v>
      </c>
      <c r="I238" s="21" t="s">
        <v>143</v>
      </c>
      <c r="J238" s="21" t="s">
        <v>190</v>
      </c>
      <c r="K238" s="21" t="s">
        <v>225</v>
      </c>
      <c r="L238" s="21" t="s">
        <v>146</v>
      </c>
      <c r="M238" s="23" t="s">
        <v>147</v>
      </c>
      <c r="N238" s="24" t="s">
        <v>225</v>
      </c>
    </row>
    <row r="239" spans="1:14" ht="15" customHeight="1" x14ac:dyDescent="0.3">
      <c r="A239" s="25" t="s">
        <v>222</v>
      </c>
      <c r="B239" s="25" t="s">
        <v>266</v>
      </c>
      <c r="C239" s="25" t="s">
        <v>267</v>
      </c>
      <c r="D239" s="25" t="s">
        <v>189</v>
      </c>
      <c r="E239" s="25" t="s">
        <v>141</v>
      </c>
      <c r="F239" s="26">
        <v>747347</v>
      </c>
      <c r="G239" s="25" t="s">
        <v>142</v>
      </c>
      <c r="H239" s="27">
        <v>1000</v>
      </c>
      <c r="I239" s="25" t="s">
        <v>143</v>
      </c>
      <c r="J239" s="25" t="s">
        <v>190</v>
      </c>
      <c r="K239" s="25" t="s">
        <v>225</v>
      </c>
      <c r="L239" s="25" t="s">
        <v>146</v>
      </c>
      <c r="M239" s="27" t="s">
        <v>147</v>
      </c>
      <c r="N239" s="28" t="s">
        <v>225</v>
      </c>
    </row>
    <row r="240" spans="1:14" ht="15" customHeight="1" x14ac:dyDescent="0.3">
      <c r="A240" s="21" t="s">
        <v>222</v>
      </c>
      <c r="B240" s="21" t="s">
        <v>223</v>
      </c>
      <c r="C240" s="21" t="s">
        <v>224</v>
      </c>
      <c r="D240" s="21" t="s">
        <v>191</v>
      </c>
      <c r="E240" s="21" t="s">
        <v>141</v>
      </c>
      <c r="F240" s="22">
        <v>747610</v>
      </c>
      <c r="G240" s="21" t="s">
        <v>142</v>
      </c>
      <c r="H240" s="23">
        <v>1000</v>
      </c>
      <c r="I240" s="21" t="s">
        <v>143</v>
      </c>
      <c r="J240" s="21" t="s">
        <v>192</v>
      </c>
      <c r="K240" s="21" t="s">
        <v>225</v>
      </c>
      <c r="L240" s="21" t="s">
        <v>146</v>
      </c>
      <c r="M240" s="23" t="s">
        <v>147</v>
      </c>
      <c r="N240" s="24" t="s">
        <v>225</v>
      </c>
    </row>
    <row r="241" spans="1:14" ht="15" customHeight="1" x14ac:dyDescent="0.3">
      <c r="A241" s="25" t="s">
        <v>222</v>
      </c>
      <c r="B241" s="25" t="s">
        <v>226</v>
      </c>
      <c r="C241" s="25" t="s">
        <v>227</v>
      </c>
      <c r="D241" s="25" t="s">
        <v>191</v>
      </c>
      <c r="E241" s="25" t="s">
        <v>141</v>
      </c>
      <c r="F241" s="26">
        <v>88975</v>
      </c>
      <c r="G241" s="25" t="s">
        <v>142</v>
      </c>
      <c r="H241" s="27">
        <v>1000</v>
      </c>
      <c r="I241" s="25" t="s">
        <v>143</v>
      </c>
      <c r="J241" s="25" t="s">
        <v>192</v>
      </c>
      <c r="K241" s="25" t="s">
        <v>225</v>
      </c>
      <c r="L241" s="25" t="s">
        <v>146</v>
      </c>
      <c r="M241" s="27" t="s">
        <v>147</v>
      </c>
      <c r="N241" s="28" t="s">
        <v>225</v>
      </c>
    </row>
    <row r="242" spans="1:14" ht="15" customHeight="1" x14ac:dyDescent="0.3">
      <c r="A242" s="21" t="s">
        <v>222</v>
      </c>
      <c r="B242" s="21" t="s">
        <v>228</v>
      </c>
      <c r="C242" s="21" t="s">
        <v>229</v>
      </c>
      <c r="D242" s="21" t="s">
        <v>191</v>
      </c>
      <c r="E242" s="21" t="s">
        <v>141</v>
      </c>
      <c r="F242" s="22">
        <v>53931</v>
      </c>
      <c r="G242" s="21" t="s">
        <v>142</v>
      </c>
      <c r="H242" s="23">
        <v>1000</v>
      </c>
      <c r="I242" s="21" t="s">
        <v>143</v>
      </c>
      <c r="J242" s="21" t="s">
        <v>192</v>
      </c>
      <c r="K242" s="21" t="s">
        <v>225</v>
      </c>
      <c r="L242" s="21" t="s">
        <v>146</v>
      </c>
      <c r="M242" s="23" t="s">
        <v>147</v>
      </c>
      <c r="N242" s="24" t="s">
        <v>225</v>
      </c>
    </row>
    <row r="243" spans="1:14" ht="15" customHeight="1" x14ac:dyDescent="0.3">
      <c r="A243" s="25" t="s">
        <v>222</v>
      </c>
      <c r="B243" s="25" t="s">
        <v>230</v>
      </c>
      <c r="C243" s="25" t="s">
        <v>231</v>
      </c>
      <c r="D243" s="25" t="s">
        <v>191</v>
      </c>
      <c r="E243" s="25" t="s">
        <v>141</v>
      </c>
      <c r="F243" s="26">
        <v>7282</v>
      </c>
      <c r="G243" s="25" t="s">
        <v>142</v>
      </c>
      <c r="H243" s="27">
        <v>1000</v>
      </c>
      <c r="I243" s="25" t="s">
        <v>143</v>
      </c>
      <c r="J243" s="25" t="s">
        <v>192</v>
      </c>
      <c r="K243" s="25" t="s">
        <v>225</v>
      </c>
      <c r="L243" s="25" t="s">
        <v>146</v>
      </c>
      <c r="M243" s="27" t="s">
        <v>147</v>
      </c>
      <c r="N243" s="28" t="s">
        <v>225</v>
      </c>
    </row>
    <row r="244" spans="1:14" ht="15" customHeight="1" x14ac:dyDescent="0.3">
      <c r="A244" s="21" t="s">
        <v>222</v>
      </c>
      <c r="B244" s="21" t="s">
        <v>232</v>
      </c>
      <c r="C244" s="21" t="s">
        <v>233</v>
      </c>
      <c r="D244" s="21" t="s">
        <v>191</v>
      </c>
      <c r="E244" s="21" t="s">
        <v>141</v>
      </c>
      <c r="F244" s="22">
        <v>897798</v>
      </c>
      <c r="G244" s="21" t="s">
        <v>142</v>
      </c>
      <c r="H244" s="23">
        <v>1000</v>
      </c>
      <c r="I244" s="21" t="s">
        <v>143</v>
      </c>
      <c r="J244" s="21" t="s">
        <v>192</v>
      </c>
      <c r="K244" s="21" t="s">
        <v>225</v>
      </c>
      <c r="L244" s="21" t="s">
        <v>146</v>
      </c>
      <c r="M244" s="23" t="s">
        <v>147</v>
      </c>
      <c r="N244" s="24" t="s">
        <v>225</v>
      </c>
    </row>
    <row r="245" spans="1:14" ht="15" customHeight="1" x14ac:dyDescent="0.3">
      <c r="A245" s="25" t="s">
        <v>222</v>
      </c>
      <c r="B245" s="25" t="s">
        <v>234</v>
      </c>
      <c r="C245" s="25" t="s">
        <v>235</v>
      </c>
      <c r="D245" s="25" t="s">
        <v>191</v>
      </c>
      <c r="E245" s="25" t="s">
        <v>141</v>
      </c>
      <c r="F245" s="26">
        <v>19103</v>
      </c>
      <c r="G245" s="25" t="s">
        <v>142</v>
      </c>
      <c r="H245" s="27">
        <v>1000</v>
      </c>
      <c r="I245" s="25" t="s">
        <v>143</v>
      </c>
      <c r="J245" s="25" t="s">
        <v>192</v>
      </c>
      <c r="K245" s="25" t="s">
        <v>225</v>
      </c>
      <c r="L245" s="25" t="s">
        <v>146</v>
      </c>
      <c r="M245" s="27" t="s">
        <v>147</v>
      </c>
      <c r="N245" s="28" t="s">
        <v>225</v>
      </c>
    </row>
    <row r="246" spans="1:14" ht="15" customHeight="1" x14ac:dyDescent="0.3">
      <c r="A246" s="21" t="s">
        <v>222</v>
      </c>
      <c r="B246" s="21" t="s">
        <v>268</v>
      </c>
      <c r="C246" s="21" t="s">
        <v>269</v>
      </c>
      <c r="D246" s="21" t="s">
        <v>191</v>
      </c>
      <c r="E246" s="21" t="s">
        <v>141</v>
      </c>
      <c r="F246" s="22">
        <v>15995</v>
      </c>
      <c r="G246" s="21" t="s">
        <v>142</v>
      </c>
      <c r="H246" s="23">
        <v>1000</v>
      </c>
      <c r="I246" s="21" t="s">
        <v>143</v>
      </c>
      <c r="J246" s="21" t="s">
        <v>192</v>
      </c>
      <c r="K246" s="21" t="s">
        <v>225</v>
      </c>
      <c r="L246" s="21" t="s">
        <v>146</v>
      </c>
      <c r="M246" s="23" t="s">
        <v>147</v>
      </c>
      <c r="N246" s="24" t="s">
        <v>225</v>
      </c>
    </row>
    <row r="247" spans="1:14" ht="15" customHeight="1" x14ac:dyDescent="0.3">
      <c r="A247" s="25" t="s">
        <v>222</v>
      </c>
      <c r="B247" s="25" t="s">
        <v>236</v>
      </c>
      <c r="C247" s="25" t="s">
        <v>237</v>
      </c>
      <c r="D247" s="25" t="s">
        <v>191</v>
      </c>
      <c r="E247" s="25" t="s">
        <v>141</v>
      </c>
      <c r="F247" s="26">
        <v>11792</v>
      </c>
      <c r="G247" s="25" t="s">
        <v>142</v>
      </c>
      <c r="H247" s="27">
        <v>1000</v>
      </c>
      <c r="I247" s="25" t="s">
        <v>143</v>
      </c>
      <c r="J247" s="25" t="s">
        <v>192</v>
      </c>
      <c r="K247" s="25" t="s">
        <v>225</v>
      </c>
      <c r="L247" s="25" t="s">
        <v>146</v>
      </c>
      <c r="M247" s="27" t="s">
        <v>147</v>
      </c>
      <c r="N247" s="28" t="s">
        <v>225</v>
      </c>
    </row>
    <row r="248" spans="1:14" ht="15" customHeight="1" x14ac:dyDescent="0.3">
      <c r="A248" s="21" t="s">
        <v>222</v>
      </c>
      <c r="B248" s="21" t="s">
        <v>270</v>
      </c>
      <c r="C248" s="21" t="s">
        <v>271</v>
      </c>
      <c r="D248" s="21" t="s">
        <v>191</v>
      </c>
      <c r="E248" s="21" t="s">
        <v>141</v>
      </c>
      <c r="F248" s="22">
        <v>4050</v>
      </c>
      <c r="G248" s="21" t="s">
        <v>142</v>
      </c>
      <c r="H248" s="23">
        <v>1000</v>
      </c>
      <c r="I248" s="21" t="s">
        <v>143</v>
      </c>
      <c r="J248" s="21" t="s">
        <v>192</v>
      </c>
      <c r="K248" s="21" t="s">
        <v>225</v>
      </c>
      <c r="L248" s="21" t="s">
        <v>146</v>
      </c>
      <c r="M248" s="23" t="s">
        <v>147</v>
      </c>
      <c r="N248" s="24" t="s">
        <v>225</v>
      </c>
    </row>
    <row r="249" spans="1:14" ht="15" customHeight="1" x14ac:dyDescent="0.3">
      <c r="A249" s="25" t="s">
        <v>222</v>
      </c>
      <c r="B249" s="25" t="s">
        <v>274</v>
      </c>
      <c r="C249" s="25" t="s">
        <v>275</v>
      </c>
      <c r="D249" s="25" t="s">
        <v>191</v>
      </c>
      <c r="E249" s="25" t="s">
        <v>141</v>
      </c>
      <c r="F249" s="26">
        <v>2735</v>
      </c>
      <c r="G249" s="25" t="s">
        <v>142</v>
      </c>
      <c r="H249" s="27">
        <v>1000</v>
      </c>
      <c r="I249" s="25" t="s">
        <v>143</v>
      </c>
      <c r="J249" s="25" t="s">
        <v>192</v>
      </c>
      <c r="K249" s="25" t="s">
        <v>225</v>
      </c>
      <c r="L249" s="25" t="s">
        <v>146</v>
      </c>
      <c r="M249" s="27" t="s">
        <v>147</v>
      </c>
      <c r="N249" s="28" t="s">
        <v>225</v>
      </c>
    </row>
    <row r="250" spans="1:14" ht="15" customHeight="1" x14ac:dyDescent="0.3">
      <c r="A250" s="21" t="s">
        <v>222</v>
      </c>
      <c r="B250" s="21" t="s">
        <v>272</v>
      </c>
      <c r="C250" s="21" t="s">
        <v>273</v>
      </c>
      <c r="D250" s="21" t="s">
        <v>191</v>
      </c>
      <c r="E250" s="21" t="s">
        <v>141</v>
      </c>
      <c r="F250" s="22">
        <v>766</v>
      </c>
      <c r="G250" s="21" t="s">
        <v>142</v>
      </c>
      <c r="H250" s="23">
        <v>1000</v>
      </c>
      <c r="I250" s="21" t="s">
        <v>143</v>
      </c>
      <c r="J250" s="21" t="s">
        <v>192</v>
      </c>
      <c r="K250" s="21" t="s">
        <v>225</v>
      </c>
      <c r="L250" s="21" t="s">
        <v>146</v>
      </c>
      <c r="M250" s="23" t="s">
        <v>147</v>
      </c>
      <c r="N250" s="24" t="s">
        <v>225</v>
      </c>
    </row>
    <row r="251" spans="1:14" ht="15" customHeight="1" x14ac:dyDescent="0.3">
      <c r="A251" s="25" t="s">
        <v>222</v>
      </c>
      <c r="B251" s="25" t="s">
        <v>240</v>
      </c>
      <c r="C251" s="25" t="s">
        <v>241</v>
      </c>
      <c r="D251" s="25" t="s">
        <v>191</v>
      </c>
      <c r="E251" s="25" t="s">
        <v>141</v>
      </c>
      <c r="F251" s="26">
        <v>1718</v>
      </c>
      <c r="G251" s="25" t="s">
        <v>142</v>
      </c>
      <c r="H251" s="27">
        <v>1000</v>
      </c>
      <c r="I251" s="25" t="s">
        <v>143</v>
      </c>
      <c r="J251" s="25" t="s">
        <v>192</v>
      </c>
      <c r="K251" s="25" t="s">
        <v>225</v>
      </c>
      <c r="L251" s="25" t="s">
        <v>146</v>
      </c>
      <c r="M251" s="27" t="s">
        <v>147</v>
      </c>
      <c r="N251" s="28" t="s">
        <v>225</v>
      </c>
    </row>
    <row r="252" spans="1:14" ht="15" customHeight="1" x14ac:dyDescent="0.3">
      <c r="A252" s="21" t="s">
        <v>222</v>
      </c>
      <c r="B252" s="21" t="s">
        <v>242</v>
      </c>
      <c r="C252" s="21" t="s">
        <v>243</v>
      </c>
      <c r="D252" s="21" t="s">
        <v>191</v>
      </c>
      <c r="E252" s="21" t="s">
        <v>141</v>
      </c>
      <c r="F252" s="22">
        <v>953957</v>
      </c>
      <c r="G252" s="21" t="s">
        <v>142</v>
      </c>
      <c r="H252" s="23">
        <v>1000</v>
      </c>
      <c r="I252" s="21" t="s">
        <v>143</v>
      </c>
      <c r="J252" s="21" t="s">
        <v>192</v>
      </c>
      <c r="K252" s="21" t="s">
        <v>225</v>
      </c>
      <c r="L252" s="21" t="s">
        <v>146</v>
      </c>
      <c r="M252" s="23" t="s">
        <v>147</v>
      </c>
      <c r="N252" s="24" t="s">
        <v>225</v>
      </c>
    </row>
    <row r="253" spans="1:14" ht="15" customHeight="1" x14ac:dyDescent="0.3">
      <c r="A253" s="25" t="s">
        <v>222</v>
      </c>
      <c r="B253" s="25" t="s">
        <v>244</v>
      </c>
      <c r="C253" s="25" t="s">
        <v>245</v>
      </c>
      <c r="D253" s="25" t="s">
        <v>191</v>
      </c>
      <c r="E253" s="25" t="s">
        <v>141</v>
      </c>
      <c r="F253" s="26">
        <v>249192</v>
      </c>
      <c r="G253" s="25" t="s">
        <v>142</v>
      </c>
      <c r="H253" s="27">
        <v>1000</v>
      </c>
      <c r="I253" s="25" t="s">
        <v>143</v>
      </c>
      <c r="J253" s="25" t="s">
        <v>192</v>
      </c>
      <c r="K253" s="25" t="s">
        <v>225</v>
      </c>
      <c r="L253" s="25" t="s">
        <v>146</v>
      </c>
      <c r="M253" s="27" t="s">
        <v>147</v>
      </c>
      <c r="N253" s="28" t="s">
        <v>225</v>
      </c>
    </row>
    <row r="254" spans="1:14" ht="15" customHeight="1" x14ac:dyDescent="0.3">
      <c r="A254" s="21" t="s">
        <v>222</v>
      </c>
      <c r="B254" s="21" t="s">
        <v>246</v>
      </c>
      <c r="C254" s="21" t="s">
        <v>247</v>
      </c>
      <c r="D254" s="21" t="s">
        <v>191</v>
      </c>
      <c r="E254" s="21" t="s">
        <v>141</v>
      </c>
      <c r="F254" s="22">
        <v>2447</v>
      </c>
      <c r="G254" s="21" t="s">
        <v>142</v>
      </c>
      <c r="H254" s="23">
        <v>1000</v>
      </c>
      <c r="I254" s="21" t="s">
        <v>143</v>
      </c>
      <c r="J254" s="21" t="s">
        <v>192</v>
      </c>
      <c r="K254" s="21" t="s">
        <v>225</v>
      </c>
      <c r="L254" s="21" t="s">
        <v>146</v>
      </c>
      <c r="M254" s="23" t="s">
        <v>147</v>
      </c>
      <c r="N254" s="24" t="s">
        <v>225</v>
      </c>
    </row>
    <row r="255" spans="1:14" ht="15" customHeight="1" x14ac:dyDescent="0.3">
      <c r="A255" s="25" t="s">
        <v>222</v>
      </c>
      <c r="B255" s="25" t="s">
        <v>248</v>
      </c>
      <c r="C255" s="25" t="s">
        <v>249</v>
      </c>
      <c r="D255" s="25" t="s">
        <v>191</v>
      </c>
      <c r="E255" s="25" t="s">
        <v>141</v>
      </c>
      <c r="F255" s="26">
        <v>792</v>
      </c>
      <c r="G255" s="25" t="s">
        <v>142</v>
      </c>
      <c r="H255" s="27">
        <v>1000</v>
      </c>
      <c r="I255" s="25" t="s">
        <v>143</v>
      </c>
      <c r="J255" s="25" t="s">
        <v>192</v>
      </c>
      <c r="K255" s="25" t="s">
        <v>225</v>
      </c>
      <c r="L255" s="25" t="s">
        <v>146</v>
      </c>
      <c r="M255" s="27" t="s">
        <v>147</v>
      </c>
      <c r="N255" s="28" t="s">
        <v>225</v>
      </c>
    </row>
    <row r="256" spans="1:14" ht="15" customHeight="1" x14ac:dyDescent="0.3">
      <c r="A256" s="21" t="s">
        <v>222</v>
      </c>
      <c r="B256" s="21" t="s">
        <v>250</v>
      </c>
      <c r="C256" s="21" t="s">
        <v>251</v>
      </c>
      <c r="D256" s="21" t="s">
        <v>191</v>
      </c>
      <c r="E256" s="21" t="s">
        <v>141</v>
      </c>
      <c r="F256" s="22">
        <v>24931</v>
      </c>
      <c r="G256" s="21" t="s">
        <v>142</v>
      </c>
      <c r="H256" s="23">
        <v>1000</v>
      </c>
      <c r="I256" s="21" t="s">
        <v>143</v>
      </c>
      <c r="J256" s="21" t="s">
        <v>192</v>
      </c>
      <c r="K256" s="21" t="s">
        <v>225</v>
      </c>
      <c r="L256" s="21" t="s">
        <v>146</v>
      </c>
      <c r="M256" s="23" t="s">
        <v>147</v>
      </c>
      <c r="N256" s="24" t="s">
        <v>225</v>
      </c>
    </row>
    <row r="257" spans="1:14" ht="15" customHeight="1" x14ac:dyDescent="0.3">
      <c r="A257" s="25" t="s">
        <v>222</v>
      </c>
      <c r="B257" s="25" t="s">
        <v>252</v>
      </c>
      <c r="C257" s="25" t="s">
        <v>253</v>
      </c>
      <c r="D257" s="25" t="s">
        <v>191</v>
      </c>
      <c r="E257" s="25" t="s">
        <v>141</v>
      </c>
      <c r="F257" s="26">
        <v>277362</v>
      </c>
      <c r="G257" s="25" t="s">
        <v>142</v>
      </c>
      <c r="H257" s="27">
        <v>1000</v>
      </c>
      <c r="I257" s="25" t="s">
        <v>143</v>
      </c>
      <c r="J257" s="25" t="s">
        <v>192</v>
      </c>
      <c r="K257" s="25" t="s">
        <v>225</v>
      </c>
      <c r="L257" s="25" t="s">
        <v>146</v>
      </c>
      <c r="M257" s="27" t="s">
        <v>147</v>
      </c>
      <c r="N257" s="28" t="s">
        <v>225</v>
      </c>
    </row>
    <row r="258" spans="1:14" ht="15" customHeight="1" x14ac:dyDescent="0.3">
      <c r="A258" s="21" t="s">
        <v>222</v>
      </c>
      <c r="B258" s="21" t="s">
        <v>254</v>
      </c>
      <c r="C258" s="21" t="s">
        <v>255</v>
      </c>
      <c r="D258" s="21" t="s">
        <v>191</v>
      </c>
      <c r="E258" s="21" t="s">
        <v>141</v>
      </c>
      <c r="F258" s="22">
        <v>21094</v>
      </c>
      <c r="G258" s="21" t="s">
        <v>142</v>
      </c>
      <c r="H258" s="23">
        <v>1000</v>
      </c>
      <c r="I258" s="21" t="s">
        <v>143</v>
      </c>
      <c r="J258" s="21" t="s">
        <v>192</v>
      </c>
      <c r="K258" s="21" t="s">
        <v>225</v>
      </c>
      <c r="L258" s="21" t="s">
        <v>146</v>
      </c>
      <c r="M258" s="23" t="s">
        <v>147</v>
      </c>
      <c r="N258" s="24" t="s">
        <v>225</v>
      </c>
    </row>
    <row r="259" spans="1:14" ht="15" customHeight="1" x14ac:dyDescent="0.3">
      <c r="A259" s="25" t="s">
        <v>222</v>
      </c>
      <c r="B259" s="25" t="s">
        <v>256</v>
      </c>
      <c r="C259" s="25" t="s">
        <v>257</v>
      </c>
      <c r="D259" s="25" t="s">
        <v>191</v>
      </c>
      <c r="E259" s="25" t="s">
        <v>141</v>
      </c>
      <c r="F259" s="26">
        <v>298456</v>
      </c>
      <c r="G259" s="25" t="s">
        <v>142</v>
      </c>
      <c r="H259" s="27">
        <v>1000</v>
      </c>
      <c r="I259" s="25" t="s">
        <v>143</v>
      </c>
      <c r="J259" s="25" t="s">
        <v>192</v>
      </c>
      <c r="K259" s="25" t="s">
        <v>225</v>
      </c>
      <c r="L259" s="25" t="s">
        <v>146</v>
      </c>
      <c r="M259" s="27" t="s">
        <v>147</v>
      </c>
      <c r="N259" s="28" t="s">
        <v>225</v>
      </c>
    </row>
    <row r="260" spans="1:14" ht="15" customHeight="1" x14ac:dyDescent="0.3">
      <c r="A260" s="21" t="s">
        <v>222</v>
      </c>
      <c r="B260" s="21" t="s">
        <v>258</v>
      </c>
      <c r="C260" s="21" t="s">
        <v>259</v>
      </c>
      <c r="D260" s="21" t="s">
        <v>191</v>
      </c>
      <c r="E260" s="21" t="s">
        <v>141</v>
      </c>
      <c r="F260" s="22">
        <v>4</v>
      </c>
      <c r="G260" s="21" t="s">
        <v>142</v>
      </c>
      <c r="H260" s="23">
        <v>1000</v>
      </c>
      <c r="I260" s="21" t="s">
        <v>143</v>
      </c>
      <c r="J260" s="21" t="s">
        <v>192</v>
      </c>
      <c r="K260" s="21" t="s">
        <v>225</v>
      </c>
      <c r="L260" s="21" t="s">
        <v>146</v>
      </c>
      <c r="M260" s="23" t="s">
        <v>147</v>
      </c>
      <c r="N260" s="24" t="s">
        <v>225</v>
      </c>
    </row>
    <row r="261" spans="1:14" ht="15" customHeight="1" x14ac:dyDescent="0.3">
      <c r="A261" s="25" t="s">
        <v>222</v>
      </c>
      <c r="B261" s="25" t="s">
        <v>260</v>
      </c>
      <c r="C261" s="25" t="s">
        <v>261</v>
      </c>
      <c r="D261" s="25" t="s">
        <v>191</v>
      </c>
      <c r="E261" s="25" t="s">
        <v>141</v>
      </c>
      <c r="F261" s="26">
        <v>869918</v>
      </c>
      <c r="G261" s="25" t="s">
        <v>142</v>
      </c>
      <c r="H261" s="27">
        <v>1000</v>
      </c>
      <c r="I261" s="25" t="s">
        <v>143</v>
      </c>
      <c r="J261" s="25" t="s">
        <v>192</v>
      </c>
      <c r="K261" s="25" t="s">
        <v>225</v>
      </c>
      <c r="L261" s="25" t="s">
        <v>146</v>
      </c>
      <c r="M261" s="27" t="s">
        <v>147</v>
      </c>
      <c r="N261" s="28" t="s">
        <v>225</v>
      </c>
    </row>
    <row r="262" spans="1:14" ht="15" customHeight="1" x14ac:dyDescent="0.3">
      <c r="A262" s="21" t="s">
        <v>222</v>
      </c>
      <c r="B262" s="21" t="s">
        <v>262</v>
      </c>
      <c r="C262" s="21" t="s">
        <v>263</v>
      </c>
      <c r="D262" s="21" t="s">
        <v>191</v>
      </c>
      <c r="E262" s="21" t="s">
        <v>141</v>
      </c>
      <c r="F262" s="22">
        <v>-214421</v>
      </c>
      <c r="G262" s="21" t="s">
        <v>142</v>
      </c>
      <c r="H262" s="23">
        <v>1000</v>
      </c>
      <c r="I262" s="21" t="s">
        <v>143</v>
      </c>
      <c r="J262" s="21" t="s">
        <v>192</v>
      </c>
      <c r="K262" s="21" t="s">
        <v>225</v>
      </c>
      <c r="L262" s="21" t="s">
        <v>146</v>
      </c>
      <c r="M262" s="23" t="s">
        <v>147</v>
      </c>
      <c r="N262" s="24" t="s">
        <v>225</v>
      </c>
    </row>
    <row r="263" spans="1:14" ht="15" customHeight="1" x14ac:dyDescent="0.3">
      <c r="A263" s="25" t="s">
        <v>222</v>
      </c>
      <c r="B263" s="25" t="s">
        <v>264</v>
      </c>
      <c r="C263" s="25" t="s">
        <v>265</v>
      </c>
      <c r="D263" s="25" t="s">
        <v>191</v>
      </c>
      <c r="E263" s="25" t="s">
        <v>141</v>
      </c>
      <c r="F263" s="26">
        <v>655501</v>
      </c>
      <c r="G263" s="25" t="s">
        <v>142</v>
      </c>
      <c r="H263" s="27">
        <v>1000</v>
      </c>
      <c r="I263" s="25" t="s">
        <v>143</v>
      </c>
      <c r="J263" s="25" t="s">
        <v>192</v>
      </c>
      <c r="K263" s="25" t="s">
        <v>225</v>
      </c>
      <c r="L263" s="25" t="s">
        <v>146</v>
      </c>
      <c r="M263" s="27" t="s">
        <v>147</v>
      </c>
      <c r="N263" s="28" t="s">
        <v>225</v>
      </c>
    </row>
    <row r="264" spans="1:14" ht="15" customHeight="1" x14ac:dyDescent="0.3">
      <c r="A264" s="21" t="s">
        <v>222</v>
      </c>
      <c r="B264" s="21" t="s">
        <v>266</v>
      </c>
      <c r="C264" s="21" t="s">
        <v>267</v>
      </c>
      <c r="D264" s="21" t="s">
        <v>191</v>
      </c>
      <c r="E264" s="21" t="s">
        <v>141</v>
      </c>
      <c r="F264" s="22">
        <v>953957</v>
      </c>
      <c r="G264" s="21" t="s">
        <v>142</v>
      </c>
      <c r="H264" s="23">
        <v>1000</v>
      </c>
      <c r="I264" s="21" t="s">
        <v>143</v>
      </c>
      <c r="J264" s="21" t="s">
        <v>192</v>
      </c>
      <c r="K264" s="21" t="s">
        <v>225</v>
      </c>
      <c r="L264" s="21" t="s">
        <v>146</v>
      </c>
      <c r="M264" s="23" t="s">
        <v>147</v>
      </c>
      <c r="N264" s="24" t="s">
        <v>225</v>
      </c>
    </row>
    <row r="265" spans="1:14" ht="15" customHeight="1" x14ac:dyDescent="0.3">
      <c r="A265" s="25" t="s">
        <v>222</v>
      </c>
      <c r="B265" s="25" t="s">
        <v>223</v>
      </c>
      <c r="C265" s="25" t="s">
        <v>224</v>
      </c>
      <c r="D265" s="25" t="s">
        <v>195</v>
      </c>
      <c r="E265" s="25" t="s">
        <v>141</v>
      </c>
      <c r="F265" s="26">
        <v>785791</v>
      </c>
      <c r="G265" s="25" t="s">
        <v>142</v>
      </c>
      <c r="H265" s="27">
        <v>1000</v>
      </c>
      <c r="I265" s="25" t="s">
        <v>143</v>
      </c>
      <c r="J265" s="25" t="s">
        <v>196</v>
      </c>
      <c r="K265" s="25" t="s">
        <v>225</v>
      </c>
      <c r="L265" s="25" t="s">
        <v>193</v>
      </c>
      <c r="M265" s="27" t="s">
        <v>147</v>
      </c>
      <c r="N265" s="28" t="s">
        <v>225</v>
      </c>
    </row>
    <row r="266" spans="1:14" ht="15" customHeight="1" x14ac:dyDescent="0.3">
      <c r="A266" s="21" t="s">
        <v>222</v>
      </c>
      <c r="B266" s="21" t="s">
        <v>276</v>
      </c>
      <c r="C266" s="21" t="s">
        <v>277</v>
      </c>
      <c r="D266" s="21" t="s">
        <v>195</v>
      </c>
      <c r="E266" s="21" t="s">
        <v>141</v>
      </c>
      <c r="F266" s="22">
        <v>91854</v>
      </c>
      <c r="G266" s="21" t="s">
        <v>142</v>
      </c>
      <c r="H266" s="23">
        <v>1000</v>
      </c>
      <c r="I266" s="21" t="s">
        <v>143</v>
      </c>
      <c r="J266" s="21" t="s">
        <v>196</v>
      </c>
      <c r="K266" s="21" t="s">
        <v>225</v>
      </c>
      <c r="L266" s="21" t="s">
        <v>193</v>
      </c>
      <c r="M266" s="23" t="s">
        <v>147</v>
      </c>
      <c r="N266" s="24" t="s">
        <v>225</v>
      </c>
    </row>
    <row r="267" spans="1:14" ht="15" customHeight="1" x14ac:dyDescent="0.3">
      <c r="A267" s="25" t="s">
        <v>222</v>
      </c>
      <c r="B267" s="25" t="s">
        <v>226</v>
      </c>
      <c r="C267" s="25" t="s">
        <v>227</v>
      </c>
      <c r="D267" s="25" t="s">
        <v>195</v>
      </c>
      <c r="E267" s="25" t="s">
        <v>141</v>
      </c>
      <c r="F267" s="26">
        <v>128923</v>
      </c>
      <c r="G267" s="25" t="s">
        <v>142</v>
      </c>
      <c r="H267" s="27">
        <v>1000</v>
      </c>
      <c r="I267" s="25" t="s">
        <v>143</v>
      </c>
      <c r="J267" s="25" t="s">
        <v>196</v>
      </c>
      <c r="K267" s="25" t="s">
        <v>225</v>
      </c>
      <c r="L267" s="25" t="s">
        <v>193</v>
      </c>
      <c r="M267" s="27" t="s">
        <v>147</v>
      </c>
      <c r="N267" s="28" t="s">
        <v>225</v>
      </c>
    </row>
    <row r="268" spans="1:14" ht="15" customHeight="1" x14ac:dyDescent="0.3">
      <c r="A268" s="21" t="s">
        <v>222</v>
      </c>
      <c r="B268" s="21" t="s">
        <v>228</v>
      </c>
      <c r="C268" s="21" t="s">
        <v>229</v>
      </c>
      <c r="D268" s="21" t="s">
        <v>195</v>
      </c>
      <c r="E268" s="21" t="s">
        <v>141</v>
      </c>
      <c r="F268" s="22">
        <v>80162</v>
      </c>
      <c r="G268" s="21" t="s">
        <v>142</v>
      </c>
      <c r="H268" s="23">
        <v>1000</v>
      </c>
      <c r="I268" s="21" t="s">
        <v>143</v>
      </c>
      <c r="J268" s="21" t="s">
        <v>196</v>
      </c>
      <c r="K268" s="21" t="s">
        <v>225</v>
      </c>
      <c r="L268" s="21" t="s">
        <v>193</v>
      </c>
      <c r="M268" s="23" t="s">
        <v>147</v>
      </c>
      <c r="N268" s="24" t="s">
        <v>225</v>
      </c>
    </row>
    <row r="269" spans="1:14" ht="15" customHeight="1" x14ac:dyDescent="0.3">
      <c r="A269" s="25" t="s">
        <v>222</v>
      </c>
      <c r="B269" s="25" t="s">
        <v>278</v>
      </c>
      <c r="C269" s="25" t="s">
        <v>279</v>
      </c>
      <c r="D269" s="25" t="s">
        <v>195</v>
      </c>
      <c r="E269" s="25" t="s">
        <v>141</v>
      </c>
      <c r="F269" s="26">
        <v>27</v>
      </c>
      <c r="G269" s="25" t="s">
        <v>142</v>
      </c>
      <c r="H269" s="27">
        <v>1000</v>
      </c>
      <c r="I269" s="25" t="s">
        <v>143</v>
      </c>
      <c r="J269" s="25" t="s">
        <v>196</v>
      </c>
      <c r="K269" s="25" t="s">
        <v>225</v>
      </c>
      <c r="L269" s="25" t="s">
        <v>193</v>
      </c>
      <c r="M269" s="27" t="s">
        <v>147</v>
      </c>
      <c r="N269" s="28" t="s">
        <v>225</v>
      </c>
    </row>
    <row r="270" spans="1:14" ht="15" customHeight="1" x14ac:dyDescent="0.3">
      <c r="A270" s="21" t="s">
        <v>222</v>
      </c>
      <c r="B270" s="21" t="s">
        <v>230</v>
      </c>
      <c r="C270" s="21" t="s">
        <v>231</v>
      </c>
      <c r="D270" s="21" t="s">
        <v>195</v>
      </c>
      <c r="E270" s="21" t="s">
        <v>141</v>
      </c>
      <c r="F270" s="22">
        <v>14831</v>
      </c>
      <c r="G270" s="21" t="s">
        <v>142</v>
      </c>
      <c r="H270" s="23">
        <v>1000</v>
      </c>
      <c r="I270" s="21" t="s">
        <v>143</v>
      </c>
      <c r="J270" s="21" t="s">
        <v>196</v>
      </c>
      <c r="K270" s="21" t="s">
        <v>225</v>
      </c>
      <c r="L270" s="21" t="s">
        <v>193</v>
      </c>
      <c r="M270" s="23" t="s">
        <v>147</v>
      </c>
      <c r="N270" s="24" t="s">
        <v>225</v>
      </c>
    </row>
    <row r="271" spans="1:14" ht="15" customHeight="1" x14ac:dyDescent="0.3">
      <c r="A271" s="25" t="s">
        <v>222</v>
      </c>
      <c r="B271" s="25" t="s">
        <v>232</v>
      </c>
      <c r="C271" s="25" t="s">
        <v>233</v>
      </c>
      <c r="D271" s="25" t="s">
        <v>195</v>
      </c>
      <c r="E271" s="25" t="s">
        <v>141</v>
      </c>
      <c r="F271" s="26">
        <v>1101588</v>
      </c>
      <c r="G271" s="25" t="s">
        <v>142</v>
      </c>
      <c r="H271" s="27">
        <v>1000</v>
      </c>
      <c r="I271" s="25" t="s">
        <v>143</v>
      </c>
      <c r="J271" s="25" t="s">
        <v>196</v>
      </c>
      <c r="K271" s="25" t="s">
        <v>225</v>
      </c>
      <c r="L271" s="25" t="s">
        <v>193</v>
      </c>
      <c r="M271" s="27" t="s">
        <v>147</v>
      </c>
      <c r="N271" s="28" t="s">
        <v>225</v>
      </c>
    </row>
    <row r="272" spans="1:14" ht="15" customHeight="1" x14ac:dyDescent="0.3">
      <c r="A272" s="21" t="s">
        <v>222</v>
      </c>
      <c r="B272" s="21" t="s">
        <v>234</v>
      </c>
      <c r="C272" s="21" t="s">
        <v>235</v>
      </c>
      <c r="D272" s="21" t="s">
        <v>195</v>
      </c>
      <c r="E272" s="21" t="s">
        <v>141</v>
      </c>
      <c r="F272" s="22">
        <v>47495</v>
      </c>
      <c r="G272" s="21" t="s">
        <v>142</v>
      </c>
      <c r="H272" s="23">
        <v>1000</v>
      </c>
      <c r="I272" s="21" t="s">
        <v>143</v>
      </c>
      <c r="J272" s="21" t="s">
        <v>196</v>
      </c>
      <c r="K272" s="21" t="s">
        <v>225</v>
      </c>
      <c r="L272" s="21" t="s">
        <v>193</v>
      </c>
      <c r="M272" s="23" t="s">
        <v>147</v>
      </c>
      <c r="N272" s="24" t="s">
        <v>225</v>
      </c>
    </row>
    <row r="273" spans="1:14" ht="15" customHeight="1" x14ac:dyDescent="0.3">
      <c r="A273" s="25" t="s">
        <v>222</v>
      </c>
      <c r="B273" s="25" t="s">
        <v>280</v>
      </c>
      <c r="C273" s="25" t="s">
        <v>281</v>
      </c>
      <c r="D273" s="25" t="s">
        <v>195</v>
      </c>
      <c r="E273" s="25" t="s">
        <v>141</v>
      </c>
      <c r="F273" s="26">
        <v>98292</v>
      </c>
      <c r="G273" s="25" t="s">
        <v>142</v>
      </c>
      <c r="H273" s="27">
        <v>1000</v>
      </c>
      <c r="I273" s="25" t="s">
        <v>143</v>
      </c>
      <c r="J273" s="25" t="s">
        <v>196</v>
      </c>
      <c r="K273" s="25" t="s">
        <v>225</v>
      </c>
      <c r="L273" s="25" t="s">
        <v>193</v>
      </c>
      <c r="M273" s="27" t="s">
        <v>147</v>
      </c>
      <c r="N273" s="28" t="s">
        <v>225</v>
      </c>
    </row>
    <row r="274" spans="1:14" ht="15" customHeight="1" x14ac:dyDescent="0.3">
      <c r="A274" s="21" t="s">
        <v>222</v>
      </c>
      <c r="B274" s="21" t="s">
        <v>268</v>
      </c>
      <c r="C274" s="21" t="s">
        <v>269</v>
      </c>
      <c r="D274" s="21" t="s">
        <v>195</v>
      </c>
      <c r="E274" s="21" t="s">
        <v>141</v>
      </c>
      <c r="F274" s="22">
        <v>19899</v>
      </c>
      <c r="G274" s="21" t="s">
        <v>142</v>
      </c>
      <c r="H274" s="23">
        <v>1000</v>
      </c>
      <c r="I274" s="21" t="s">
        <v>143</v>
      </c>
      <c r="J274" s="21" t="s">
        <v>196</v>
      </c>
      <c r="K274" s="21" t="s">
        <v>225</v>
      </c>
      <c r="L274" s="21" t="s">
        <v>193</v>
      </c>
      <c r="M274" s="23" t="s">
        <v>147</v>
      </c>
      <c r="N274" s="24" t="s">
        <v>225</v>
      </c>
    </row>
    <row r="275" spans="1:14" ht="15" customHeight="1" x14ac:dyDescent="0.3">
      <c r="A275" s="25" t="s">
        <v>222</v>
      </c>
      <c r="B275" s="25" t="s">
        <v>236</v>
      </c>
      <c r="C275" s="25" t="s">
        <v>237</v>
      </c>
      <c r="D275" s="25" t="s">
        <v>195</v>
      </c>
      <c r="E275" s="25" t="s">
        <v>141</v>
      </c>
      <c r="F275" s="26">
        <v>18943</v>
      </c>
      <c r="G275" s="25" t="s">
        <v>142</v>
      </c>
      <c r="H275" s="27">
        <v>1000</v>
      </c>
      <c r="I275" s="25" t="s">
        <v>143</v>
      </c>
      <c r="J275" s="25" t="s">
        <v>196</v>
      </c>
      <c r="K275" s="25" t="s">
        <v>225</v>
      </c>
      <c r="L275" s="25" t="s">
        <v>193</v>
      </c>
      <c r="M275" s="27" t="s">
        <v>147</v>
      </c>
      <c r="N275" s="28" t="s">
        <v>225</v>
      </c>
    </row>
    <row r="276" spans="1:14" ht="15" customHeight="1" x14ac:dyDescent="0.3">
      <c r="A276" s="21" t="s">
        <v>222</v>
      </c>
      <c r="B276" s="21" t="s">
        <v>270</v>
      </c>
      <c r="C276" s="21" t="s">
        <v>271</v>
      </c>
      <c r="D276" s="21" t="s">
        <v>195</v>
      </c>
      <c r="E276" s="21" t="s">
        <v>141</v>
      </c>
      <c r="F276" s="22">
        <v>10538</v>
      </c>
      <c r="G276" s="21" t="s">
        <v>142</v>
      </c>
      <c r="H276" s="23">
        <v>1000</v>
      </c>
      <c r="I276" s="21" t="s">
        <v>143</v>
      </c>
      <c r="J276" s="21" t="s">
        <v>196</v>
      </c>
      <c r="K276" s="21" t="s">
        <v>225</v>
      </c>
      <c r="L276" s="21" t="s">
        <v>193</v>
      </c>
      <c r="M276" s="23" t="s">
        <v>147</v>
      </c>
      <c r="N276" s="24" t="s">
        <v>225</v>
      </c>
    </row>
    <row r="277" spans="1:14" ht="15" customHeight="1" x14ac:dyDescent="0.3">
      <c r="A277" s="25" t="s">
        <v>222</v>
      </c>
      <c r="B277" s="25" t="s">
        <v>274</v>
      </c>
      <c r="C277" s="25" t="s">
        <v>275</v>
      </c>
      <c r="D277" s="25" t="s">
        <v>195</v>
      </c>
      <c r="E277" s="25" t="s">
        <v>141</v>
      </c>
      <c r="F277" s="26">
        <v>2735</v>
      </c>
      <c r="G277" s="25" t="s">
        <v>142</v>
      </c>
      <c r="H277" s="27">
        <v>1000</v>
      </c>
      <c r="I277" s="25" t="s">
        <v>143</v>
      </c>
      <c r="J277" s="25" t="s">
        <v>196</v>
      </c>
      <c r="K277" s="25" t="s">
        <v>225</v>
      </c>
      <c r="L277" s="25" t="s">
        <v>193</v>
      </c>
      <c r="M277" s="27" t="s">
        <v>147</v>
      </c>
      <c r="N277" s="28" t="s">
        <v>225</v>
      </c>
    </row>
    <row r="278" spans="1:14" ht="15" customHeight="1" x14ac:dyDescent="0.3">
      <c r="A278" s="21" t="s">
        <v>222</v>
      </c>
      <c r="B278" s="21" t="s">
        <v>272</v>
      </c>
      <c r="C278" s="21" t="s">
        <v>273</v>
      </c>
      <c r="D278" s="21" t="s">
        <v>195</v>
      </c>
      <c r="E278" s="21" t="s">
        <v>141</v>
      </c>
      <c r="F278" s="22">
        <v>675</v>
      </c>
      <c r="G278" s="21" t="s">
        <v>142</v>
      </c>
      <c r="H278" s="23">
        <v>1000</v>
      </c>
      <c r="I278" s="21" t="s">
        <v>143</v>
      </c>
      <c r="J278" s="21" t="s">
        <v>196</v>
      </c>
      <c r="K278" s="21" t="s">
        <v>225</v>
      </c>
      <c r="L278" s="21" t="s">
        <v>193</v>
      </c>
      <c r="M278" s="23" t="s">
        <v>147</v>
      </c>
      <c r="N278" s="24" t="s">
        <v>225</v>
      </c>
    </row>
    <row r="279" spans="1:14" ht="15" customHeight="1" x14ac:dyDescent="0.3">
      <c r="A279" s="25" t="s">
        <v>222</v>
      </c>
      <c r="B279" s="25" t="s">
        <v>240</v>
      </c>
      <c r="C279" s="25" t="s">
        <v>241</v>
      </c>
      <c r="D279" s="25" t="s">
        <v>195</v>
      </c>
      <c r="E279" s="25" t="s">
        <v>141</v>
      </c>
      <c r="F279" s="26">
        <v>1563</v>
      </c>
      <c r="G279" s="25" t="s">
        <v>142</v>
      </c>
      <c r="H279" s="27">
        <v>1000</v>
      </c>
      <c r="I279" s="25" t="s">
        <v>143</v>
      </c>
      <c r="J279" s="25" t="s">
        <v>196</v>
      </c>
      <c r="K279" s="25" t="s">
        <v>225</v>
      </c>
      <c r="L279" s="25" t="s">
        <v>193</v>
      </c>
      <c r="M279" s="27" t="s">
        <v>147</v>
      </c>
      <c r="N279" s="28" t="s">
        <v>225</v>
      </c>
    </row>
    <row r="280" spans="1:14" ht="15" customHeight="1" x14ac:dyDescent="0.3">
      <c r="A280" s="21" t="s">
        <v>222</v>
      </c>
      <c r="B280" s="21" t="s">
        <v>242</v>
      </c>
      <c r="C280" s="21" t="s">
        <v>243</v>
      </c>
      <c r="D280" s="21" t="s">
        <v>195</v>
      </c>
      <c r="E280" s="21" t="s">
        <v>141</v>
      </c>
      <c r="F280" s="22">
        <v>1301728</v>
      </c>
      <c r="G280" s="21" t="s">
        <v>142</v>
      </c>
      <c r="H280" s="23">
        <v>1000</v>
      </c>
      <c r="I280" s="21" t="s">
        <v>143</v>
      </c>
      <c r="J280" s="21" t="s">
        <v>196</v>
      </c>
      <c r="K280" s="21" t="s">
        <v>225</v>
      </c>
      <c r="L280" s="21" t="s">
        <v>193</v>
      </c>
      <c r="M280" s="23" t="s">
        <v>147</v>
      </c>
      <c r="N280" s="24" t="s">
        <v>225</v>
      </c>
    </row>
    <row r="281" spans="1:14" ht="15" customHeight="1" x14ac:dyDescent="0.3">
      <c r="A281" s="25" t="s">
        <v>222</v>
      </c>
      <c r="B281" s="25" t="s">
        <v>244</v>
      </c>
      <c r="C281" s="25" t="s">
        <v>245</v>
      </c>
      <c r="D281" s="25" t="s">
        <v>195</v>
      </c>
      <c r="E281" s="25" t="s">
        <v>141</v>
      </c>
      <c r="F281" s="26">
        <v>372884</v>
      </c>
      <c r="G281" s="25" t="s">
        <v>142</v>
      </c>
      <c r="H281" s="27">
        <v>1000</v>
      </c>
      <c r="I281" s="25" t="s">
        <v>143</v>
      </c>
      <c r="J281" s="25" t="s">
        <v>196</v>
      </c>
      <c r="K281" s="25" t="s">
        <v>225</v>
      </c>
      <c r="L281" s="25" t="s">
        <v>193</v>
      </c>
      <c r="M281" s="27" t="s">
        <v>147</v>
      </c>
      <c r="N281" s="28" t="s">
        <v>225</v>
      </c>
    </row>
    <row r="282" spans="1:14" ht="15" customHeight="1" x14ac:dyDescent="0.3">
      <c r="A282" s="21" t="s">
        <v>222</v>
      </c>
      <c r="B282" s="21" t="s">
        <v>246</v>
      </c>
      <c r="C282" s="21" t="s">
        <v>247</v>
      </c>
      <c r="D282" s="21" t="s">
        <v>195</v>
      </c>
      <c r="E282" s="21" t="s">
        <v>141</v>
      </c>
      <c r="F282" s="22">
        <v>6381</v>
      </c>
      <c r="G282" s="21" t="s">
        <v>142</v>
      </c>
      <c r="H282" s="23">
        <v>1000</v>
      </c>
      <c r="I282" s="21" t="s">
        <v>143</v>
      </c>
      <c r="J282" s="21" t="s">
        <v>196</v>
      </c>
      <c r="K282" s="21" t="s">
        <v>225</v>
      </c>
      <c r="L282" s="21" t="s">
        <v>193</v>
      </c>
      <c r="M282" s="23" t="s">
        <v>147</v>
      </c>
      <c r="N282" s="24" t="s">
        <v>225</v>
      </c>
    </row>
    <row r="283" spans="1:14" ht="15" customHeight="1" x14ac:dyDescent="0.3">
      <c r="A283" s="25" t="s">
        <v>222</v>
      </c>
      <c r="B283" s="25" t="s">
        <v>248</v>
      </c>
      <c r="C283" s="25" t="s">
        <v>249</v>
      </c>
      <c r="D283" s="25" t="s">
        <v>195</v>
      </c>
      <c r="E283" s="25" t="s">
        <v>141</v>
      </c>
      <c r="F283" s="26">
        <v>6591</v>
      </c>
      <c r="G283" s="25" t="s">
        <v>142</v>
      </c>
      <c r="H283" s="27">
        <v>1000</v>
      </c>
      <c r="I283" s="25" t="s">
        <v>143</v>
      </c>
      <c r="J283" s="25" t="s">
        <v>196</v>
      </c>
      <c r="K283" s="25" t="s">
        <v>225</v>
      </c>
      <c r="L283" s="25" t="s">
        <v>193</v>
      </c>
      <c r="M283" s="27" t="s">
        <v>147</v>
      </c>
      <c r="N283" s="28" t="s">
        <v>225</v>
      </c>
    </row>
    <row r="284" spans="1:14" ht="15" customHeight="1" x14ac:dyDescent="0.3">
      <c r="A284" s="21" t="s">
        <v>222</v>
      </c>
      <c r="B284" s="21" t="s">
        <v>250</v>
      </c>
      <c r="C284" s="21" t="s">
        <v>251</v>
      </c>
      <c r="D284" s="21" t="s">
        <v>195</v>
      </c>
      <c r="E284" s="21" t="s">
        <v>141</v>
      </c>
      <c r="F284" s="22">
        <v>36375</v>
      </c>
      <c r="G284" s="21" t="s">
        <v>142</v>
      </c>
      <c r="H284" s="23">
        <v>1000</v>
      </c>
      <c r="I284" s="21" t="s">
        <v>143</v>
      </c>
      <c r="J284" s="21" t="s">
        <v>196</v>
      </c>
      <c r="K284" s="21" t="s">
        <v>225</v>
      </c>
      <c r="L284" s="21" t="s">
        <v>193</v>
      </c>
      <c r="M284" s="23" t="s">
        <v>147</v>
      </c>
      <c r="N284" s="24" t="s">
        <v>225</v>
      </c>
    </row>
    <row r="285" spans="1:14" ht="15" customHeight="1" x14ac:dyDescent="0.3">
      <c r="A285" s="25" t="s">
        <v>222</v>
      </c>
      <c r="B285" s="25" t="s">
        <v>252</v>
      </c>
      <c r="C285" s="25" t="s">
        <v>253</v>
      </c>
      <c r="D285" s="25" t="s">
        <v>195</v>
      </c>
      <c r="E285" s="25" t="s">
        <v>141</v>
      </c>
      <c r="F285" s="26">
        <v>422231</v>
      </c>
      <c r="G285" s="25" t="s">
        <v>142</v>
      </c>
      <c r="H285" s="27">
        <v>1000</v>
      </c>
      <c r="I285" s="25" t="s">
        <v>143</v>
      </c>
      <c r="J285" s="25" t="s">
        <v>196</v>
      </c>
      <c r="K285" s="25" t="s">
        <v>225</v>
      </c>
      <c r="L285" s="25" t="s">
        <v>193</v>
      </c>
      <c r="M285" s="27" t="s">
        <v>147</v>
      </c>
      <c r="N285" s="28" t="s">
        <v>225</v>
      </c>
    </row>
    <row r="286" spans="1:14" ht="15" customHeight="1" x14ac:dyDescent="0.3">
      <c r="A286" s="21" t="s">
        <v>222</v>
      </c>
      <c r="B286" s="21" t="s">
        <v>254</v>
      </c>
      <c r="C286" s="21" t="s">
        <v>255</v>
      </c>
      <c r="D286" s="21" t="s">
        <v>195</v>
      </c>
      <c r="E286" s="21" t="s">
        <v>141</v>
      </c>
      <c r="F286" s="22">
        <v>54656</v>
      </c>
      <c r="G286" s="21" t="s">
        <v>142</v>
      </c>
      <c r="H286" s="23">
        <v>1000</v>
      </c>
      <c r="I286" s="21" t="s">
        <v>143</v>
      </c>
      <c r="J286" s="21" t="s">
        <v>196</v>
      </c>
      <c r="K286" s="21" t="s">
        <v>225</v>
      </c>
      <c r="L286" s="21" t="s">
        <v>193</v>
      </c>
      <c r="M286" s="23" t="s">
        <v>147</v>
      </c>
      <c r="N286" s="24" t="s">
        <v>225</v>
      </c>
    </row>
    <row r="287" spans="1:14" ht="15" customHeight="1" x14ac:dyDescent="0.3">
      <c r="A287" s="25" t="s">
        <v>222</v>
      </c>
      <c r="B287" s="25" t="s">
        <v>282</v>
      </c>
      <c r="C287" s="25" t="s">
        <v>283</v>
      </c>
      <c r="D287" s="25" t="s">
        <v>195</v>
      </c>
      <c r="E287" s="25" t="s">
        <v>141</v>
      </c>
      <c r="F287" s="26">
        <v>291</v>
      </c>
      <c r="G287" s="25" t="s">
        <v>142</v>
      </c>
      <c r="H287" s="27">
        <v>1000</v>
      </c>
      <c r="I287" s="25" t="s">
        <v>143</v>
      </c>
      <c r="J287" s="25" t="s">
        <v>196</v>
      </c>
      <c r="K287" s="25" t="s">
        <v>225</v>
      </c>
      <c r="L287" s="25" t="s">
        <v>193</v>
      </c>
      <c r="M287" s="27" t="s">
        <v>147</v>
      </c>
      <c r="N287" s="28" t="s">
        <v>225</v>
      </c>
    </row>
    <row r="288" spans="1:14" ht="15" customHeight="1" x14ac:dyDescent="0.3">
      <c r="A288" s="21" t="s">
        <v>222</v>
      </c>
      <c r="B288" s="21" t="s">
        <v>256</v>
      </c>
      <c r="C288" s="21" t="s">
        <v>257</v>
      </c>
      <c r="D288" s="21" t="s">
        <v>195</v>
      </c>
      <c r="E288" s="21" t="s">
        <v>141</v>
      </c>
      <c r="F288" s="22">
        <v>477178</v>
      </c>
      <c r="G288" s="21" t="s">
        <v>142</v>
      </c>
      <c r="H288" s="23">
        <v>1000</v>
      </c>
      <c r="I288" s="21" t="s">
        <v>143</v>
      </c>
      <c r="J288" s="21" t="s">
        <v>196</v>
      </c>
      <c r="K288" s="21" t="s">
        <v>225</v>
      </c>
      <c r="L288" s="21" t="s">
        <v>193</v>
      </c>
      <c r="M288" s="23" t="s">
        <v>147</v>
      </c>
      <c r="N288" s="24" t="s">
        <v>225</v>
      </c>
    </row>
    <row r="289" spans="1:14" ht="15" customHeight="1" x14ac:dyDescent="0.3">
      <c r="A289" s="25" t="s">
        <v>222</v>
      </c>
      <c r="B289" s="25" t="s">
        <v>258</v>
      </c>
      <c r="C289" s="25" t="s">
        <v>259</v>
      </c>
      <c r="D289" s="25" t="s">
        <v>195</v>
      </c>
      <c r="E289" s="25" t="s">
        <v>141</v>
      </c>
      <c r="F289" s="26">
        <v>4</v>
      </c>
      <c r="G289" s="25" t="s">
        <v>142</v>
      </c>
      <c r="H289" s="27">
        <v>1000</v>
      </c>
      <c r="I289" s="25" t="s">
        <v>143</v>
      </c>
      <c r="J289" s="25" t="s">
        <v>196</v>
      </c>
      <c r="K289" s="25" t="s">
        <v>225</v>
      </c>
      <c r="L289" s="25" t="s">
        <v>193</v>
      </c>
      <c r="M289" s="27" t="s">
        <v>147</v>
      </c>
      <c r="N289" s="28" t="s">
        <v>225</v>
      </c>
    </row>
    <row r="290" spans="1:14" ht="15" customHeight="1" x14ac:dyDescent="0.3">
      <c r="A290" s="21" t="s">
        <v>222</v>
      </c>
      <c r="B290" s="21" t="s">
        <v>260</v>
      </c>
      <c r="C290" s="21" t="s">
        <v>261</v>
      </c>
      <c r="D290" s="21" t="s">
        <v>195</v>
      </c>
      <c r="E290" s="21" t="s">
        <v>141</v>
      </c>
      <c r="F290" s="22">
        <v>950393</v>
      </c>
      <c r="G290" s="21" t="s">
        <v>142</v>
      </c>
      <c r="H290" s="23">
        <v>1000</v>
      </c>
      <c r="I290" s="21" t="s">
        <v>143</v>
      </c>
      <c r="J290" s="21" t="s">
        <v>196</v>
      </c>
      <c r="K290" s="21" t="s">
        <v>225</v>
      </c>
      <c r="L290" s="21" t="s">
        <v>193</v>
      </c>
      <c r="M290" s="23" t="s">
        <v>147</v>
      </c>
      <c r="N290" s="24" t="s">
        <v>225</v>
      </c>
    </row>
    <row r="291" spans="1:14" ht="15" customHeight="1" x14ac:dyDescent="0.3">
      <c r="A291" s="25" t="s">
        <v>222</v>
      </c>
      <c r="B291" s="25" t="s">
        <v>262</v>
      </c>
      <c r="C291" s="25" t="s">
        <v>263</v>
      </c>
      <c r="D291" s="25" t="s">
        <v>195</v>
      </c>
      <c r="E291" s="25" t="s">
        <v>141</v>
      </c>
      <c r="F291" s="26">
        <v>-125847</v>
      </c>
      <c r="G291" s="25" t="s">
        <v>142</v>
      </c>
      <c r="H291" s="27">
        <v>1000</v>
      </c>
      <c r="I291" s="25" t="s">
        <v>143</v>
      </c>
      <c r="J291" s="25" t="s">
        <v>196</v>
      </c>
      <c r="K291" s="25" t="s">
        <v>225</v>
      </c>
      <c r="L291" s="25" t="s">
        <v>193</v>
      </c>
      <c r="M291" s="27" t="s">
        <v>147</v>
      </c>
      <c r="N291" s="28" t="s">
        <v>225</v>
      </c>
    </row>
    <row r="292" spans="1:14" ht="15" customHeight="1" x14ac:dyDescent="0.3">
      <c r="A292" s="21" t="s">
        <v>222</v>
      </c>
      <c r="B292" s="21" t="s">
        <v>264</v>
      </c>
      <c r="C292" s="21" t="s">
        <v>265</v>
      </c>
      <c r="D292" s="21" t="s">
        <v>195</v>
      </c>
      <c r="E292" s="21" t="s">
        <v>141</v>
      </c>
      <c r="F292" s="22">
        <v>824550</v>
      </c>
      <c r="G292" s="21" t="s">
        <v>142</v>
      </c>
      <c r="H292" s="23">
        <v>1000</v>
      </c>
      <c r="I292" s="21" t="s">
        <v>143</v>
      </c>
      <c r="J292" s="21" t="s">
        <v>196</v>
      </c>
      <c r="K292" s="21" t="s">
        <v>225</v>
      </c>
      <c r="L292" s="21" t="s">
        <v>193</v>
      </c>
      <c r="M292" s="23" t="s">
        <v>147</v>
      </c>
      <c r="N292" s="24" t="s">
        <v>225</v>
      </c>
    </row>
    <row r="293" spans="1:14" ht="15" customHeight="1" x14ac:dyDescent="0.3">
      <c r="A293" s="25" t="s">
        <v>222</v>
      </c>
      <c r="B293" s="25" t="s">
        <v>266</v>
      </c>
      <c r="C293" s="25" t="s">
        <v>267</v>
      </c>
      <c r="D293" s="25" t="s">
        <v>195</v>
      </c>
      <c r="E293" s="25" t="s">
        <v>141</v>
      </c>
      <c r="F293" s="26">
        <v>1301728</v>
      </c>
      <c r="G293" s="25" t="s">
        <v>142</v>
      </c>
      <c r="H293" s="27">
        <v>1000</v>
      </c>
      <c r="I293" s="25" t="s">
        <v>143</v>
      </c>
      <c r="J293" s="25" t="s">
        <v>196</v>
      </c>
      <c r="K293" s="25" t="s">
        <v>225</v>
      </c>
      <c r="L293" s="25" t="s">
        <v>193</v>
      </c>
      <c r="M293" s="27" t="s">
        <v>147</v>
      </c>
      <c r="N293" s="28" t="s">
        <v>225</v>
      </c>
    </row>
    <row r="294" spans="1:14" ht="15" customHeight="1" x14ac:dyDescent="0.3">
      <c r="A294" s="21" t="s">
        <v>222</v>
      </c>
      <c r="B294" s="21" t="s">
        <v>223</v>
      </c>
      <c r="C294" s="21" t="s">
        <v>224</v>
      </c>
      <c r="D294" s="21" t="s">
        <v>197</v>
      </c>
      <c r="E294" s="21" t="s">
        <v>141</v>
      </c>
      <c r="F294" s="22">
        <v>1036389</v>
      </c>
      <c r="G294" s="21" t="s">
        <v>142</v>
      </c>
      <c r="H294" s="23">
        <v>1000</v>
      </c>
      <c r="I294" s="21" t="s">
        <v>143</v>
      </c>
      <c r="J294" s="21" t="s">
        <v>198</v>
      </c>
      <c r="K294" s="21" t="s">
        <v>225</v>
      </c>
      <c r="L294" s="21" t="s">
        <v>193</v>
      </c>
      <c r="M294" s="23" t="s">
        <v>147</v>
      </c>
      <c r="N294" s="24" t="s">
        <v>225</v>
      </c>
    </row>
    <row r="295" spans="1:14" ht="15" customHeight="1" x14ac:dyDescent="0.3">
      <c r="A295" s="25" t="s">
        <v>222</v>
      </c>
      <c r="B295" s="25" t="s">
        <v>276</v>
      </c>
      <c r="C295" s="25" t="s">
        <v>277</v>
      </c>
      <c r="D295" s="25" t="s">
        <v>197</v>
      </c>
      <c r="E295" s="25" t="s">
        <v>141</v>
      </c>
      <c r="F295" s="26">
        <v>104078</v>
      </c>
      <c r="G295" s="25" t="s">
        <v>142</v>
      </c>
      <c r="H295" s="27">
        <v>1000</v>
      </c>
      <c r="I295" s="25" t="s">
        <v>143</v>
      </c>
      <c r="J295" s="25" t="s">
        <v>198</v>
      </c>
      <c r="K295" s="25" t="s">
        <v>225</v>
      </c>
      <c r="L295" s="25" t="s">
        <v>193</v>
      </c>
      <c r="M295" s="27" t="s">
        <v>147</v>
      </c>
      <c r="N295" s="28" t="s">
        <v>225</v>
      </c>
    </row>
    <row r="296" spans="1:14" ht="15" customHeight="1" x14ac:dyDescent="0.3">
      <c r="A296" s="21" t="s">
        <v>222</v>
      </c>
      <c r="B296" s="21" t="s">
        <v>226</v>
      </c>
      <c r="C296" s="21" t="s">
        <v>227</v>
      </c>
      <c r="D296" s="21" t="s">
        <v>197</v>
      </c>
      <c r="E296" s="21" t="s">
        <v>141</v>
      </c>
      <c r="F296" s="22">
        <v>162827</v>
      </c>
      <c r="G296" s="21" t="s">
        <v>142</v>
      </c>
      <c r="H296" s="23">
        <v>1000</v>
      </c>
      <c r="I296" s="21" t="s">
        <v>143</v>
      </c>
      <c r="J296" s="21" t="s">
        <v>198</v>
      </c>
      <c r="K296" s="21" t="s">
        <v>225</v>
      </c>
      <c r="L296" s="21" t="s">
        <v>193</v>
      </c>
      <c r="M296" s="23" t="s">
        <v>147</v>
      </c>
      <c r="N296" s="24" t="s">
        <v>225</v>
      </c>
    </row>
    <row r="297" spans="1:14" ht="15" customHeight="1" x14ac:dyDescent="0.3">
      <c r="A297" s="25" t="s">
        <v>222</v>
      </c>
      <c r="B297" s="25" t="s">
        <v>228</v>
      </c>
      <c r="C297" s="25" t="s">
        <v>229</v>
      </c>
      <c r="D297" s="25" t="s">
        <v>197</v>
      </c>
      <c r="E297" s="25" t="s">
        <v>141</v>
      </c>
      <c r="F297" s="26">
        <v>102663</v>
      </c>
      <c r="G297" s="25" t="s">
        <v>142</v>
      </c>
      <c r="H297" s="27">
        <v>1000</v>
      </c>
      <c r="I297" s="25" t="s">
        <v>143</v>
      </c>
      <c r="J297" s="25" t="s">
        <v>198</v>
      </c>
      <c r="K297" s="25" t="s">
        <v>225</v>
      </c>
      <c r="L297" s="25" t="s">
        <v>193</v>
      </c>
      <c r="M297" s="27" t="s">
        <v>147</v>
      </c>
      <c r="N297" s="28" t="s">
        <v>225</v>
      </c>
    </row>
    <row r="298" spans="1:14" ht="15" customHeight="1" x14ac:dyDescent="0.3">
      <c r="A298" s="21" t="s">
        <v>222</v>
      </c>
      <c r="B298" s="21" t="s">
        <v>278</v>
      </c>
      <c r="C298" s="21" t="s">
        <v>279</v>
      </c>
      <c r="D298" s="21" t="s">
        <v>197</v>
      </c>
      <c r="E298" s="21" t="s">
        <v>141</v>
      </c>
      <c r="F298" s="22">
        <v>14067</v>
      </c>
      <c r="G298" s="21" t="s">
        <v>142</v>
      </c>
      <c r="H298" s="23">
        <v>1000</v>
      </c>
      <c r="I298" s="21" t="s">
        <v>143</v>
      </c>
      <c r="J298" s="21" t="s">
        <v>198</v>
      </c>
      <c r="K298" s="21" t="s">
        <v>225</v>
      </c>
      <c r="L298" s="21" t="s">
        <v>193</v>
      </c>
      <c r="M298" s="23" t="s">
        <v>147</v>
      </c>
      <c r="N298" s="24" t="s">
        <v>225</v>
      </c>
    </row>
    <row r="299" spans="1:14" ht="15" customHeight="1" x14ac:dyDescent="0.3">
      <c r="A299" s="25" t="s">
        <v>222</v>
      </c>
      <c r="B299" s="25" t="s">
        <v>230</v>
      </c>
      <c r="C299" s="25" t="s">
        <v>231</v>
      </c>
      <c r="D299" s="25" t="s">
        <v>197</v>
      </c>
      <c r="E299" s="25" t="s">
        <v>141</v>
      </c>
      <c r="F299" s="26">
        <v>16582</v>
      </c>
      <c r="G299" s="25" t="s">
        <v>142</v>
      </c>
      <c r="H299" s="27">
        <v>1000</v>
      </c>
      <c r="I299" s="25" t="s">
        <v>143</v>
      </c>
      <c r="J299" s="25" t="s">
        <v>198</v>
      </c>
      <c r="K299" s="25" t="s">
        <v>225</v>
      </c>
      <c r="L299" s="25" t="s">
        <v>193</v>
      </c>
      <c r="M299" s="27" t="s">
        <v>147</v>
      </c>
      <c r="N299" s="28" t="s">
        <v>225</v>
      </c>
    </row>
    <row r="300" spans="1:14" ht="15" customHeight="1" x14ac:dyDescent="0.3">
      <c r="A300" s="21" t="s">
        <v>222</v>
      </c>
      <c r="B300" s="21" t="s">
        <v>232</v>
      </c>
      <c r="C300" s="21" t="s">
        <v>233</v>
      </c>
      <c r="D300" s="21" t="s">
        <v>197</v>
      </c>
      <c r="E300" s="21" t="s">
        <v>141</v>
      </c>
      <c r="F300" s="22">
        <v>1436606</v>
      </c>
      <c r="G300" s="21" t="s">
        <v>142</v>
      </c>
      <c r="H300" s="23">
        <v>1000</v>
      </c>
      <c r="I300" s="21" t="s">
        <v>143</v>
      </c>
      <c r="J300" s="21" t="s">
        <v>198</v>
      </c>
      <c r="K300" s="21" t="s">
        <v>225</v>
      </c>
      <c r="L300" s="21" t="s">
        <v>193</v>
      </c>
      <c r="M300" s="23" t="s">
        <v>147</v>
      </c>
      <c r="N300" s="24" t="s">
        <v>225</v>
      </c>
    </row>
    <row r="301" spans="1:14" ht="15" customHeight="1" x14ac:dyDescent="0.3">
      <c r="A301" s="25" t="s">
        <v>222</v>
      </c>
      <c r="B301" s="25" t="s">
        <v>234</v>
      </c>
      <c r="C301" s="25" t="s">
        <v>235</v>
      </c>
      <c r="D301" s="25" t="s">
        <v>197</v>
      </c>
      <c r="E301" s="25" t="s">
        <v>141</v>
      </c>
      <c r="F301" s="26">
        <v>80380</v>
      </c>
      <c r="G301" s="25" t="s">
        <v>142</v>
      </c>
      <c r="H301" s="27">
        <v>1000</v>
      </c>
      <c r="I301" s="25" t="s">
        <v>143</v>
      </c>
      <c r="J301" s="25" t="s">
        <v>198</v>
      </c>
      <c r="K301" s="25" t="s">
        <v>225</v>
      </c>
      <c r="L301" s="25" t="s">
        <v>193</v>
      </c>
      <c r="M301" s="27" t="s">
        <v>147</v>
      </c>
      <c r="N301" s="28" t="s">
        <v>225</v>
      </c>
    </row>
    <row r="302" spans="1:14" ht="15" customHeight="1" x14ac:dyDescent="0.3">
      <c r="A302" s="21" t="s">
        <v>222</v>
      </c>
      <c r="B302" s="21" t="s">
        <v>280</v>
      </c>
      <c r="C302" s="21" t="s">
        <v>281</v>
      </c>
      <c r="D302" s="21" t="s">
        <v>197</v>
      </c>
      <c r="E302" s="21" t="s">
        <v>141</v>
      </c>
      <c r="F302" s="22">
        <v>135098</v>
      </c>
      <c r="G302" s="21" t="s">
        <v>142</v>
      </c>
      <c r="H302" s="23">
        <v>1000</v>
      </c>
      <c r="I302" s="21" t="s">
        <v>143</v>
      </c>
      <c r="J302" s="21" t="s">
        <v>198</v>
      </c>
      <c r="K302" s="21" t="s">
        <v>225</v>
      </c>
      <c r="L302" s="21" t="s">
        <v>193</v>
      </c>
      <c r="M302" s="23" t="s">
        <v>147</v>
      </c>
      <c r="N302" s="24" t="s">
        <v>225</v>
      </c>
    </row>
    <row r="303" spans="1:14" ht="15" customHeight="1" x14ac:dyDescent="0.3">
      <c r="A303" s="25" t="s">
        <v>222</v>
      </c>
      <c r="B303" s="25" t="s">
        <v>268</v>
      </c>
      <c r="C303" s="25" t="s">
        <v>269</v>
      </c>
      <c r="D303" s="25" t="s">
        <v>197</v>
      </c>
      <c r="E303" s="25" t="s">
        <v>141</v>
      </c>
      <c r="F303" s="26">
        <v>28309</v>
      </c>
      <c r="G303" s="25" t="s">
        <v>142</v>
      </c>
      <c r="H303" s="27">
        <v>1000</v>
      </c>
      <c r="I303" s="25" t="s">
        <v>143</v>
      </c>
      <c r="J303" s="25" t="s">
        <v>198</v>
      </c>
      <c r="K303" s="25" t="s">
        <v>225</v>
      </c>
      <c r="L303" s="25" t="s">
        <v>193</v>
      </c>
      <c r="M303" s="27" t="s">
        <v>147</v>
      </c>
      <c r="N303" s="28" t="s">
        <v>225</v>
      </c>
    </row>
    <row r="304" spans="1:14" ht="15" customHeight="1" x14ac:dyDescent="0.3">
      <c r="A304" s="21" t="s">
        <v>222</v>
      </c>
      <c r="B304" s="21" t="s">
        <v>236</v>
      </c>
      <c r="C304" s="21" t="s">
        <v>237</v>
      </c>
      <c r="D304" s="21" t="s">
        <v>197</v>
      </c>
      <c r="E304" s="21" t="s">
        <v>141</v>
      </c>
      <c r="F304" s="22">
        <v>36297</v>
      </c>
      <c r="G304" s="21" t="s">
        <v>142</v>
      </c>
      <c r="H304" s="23">
        <v>1000</v>
      </c>
      <c r="I304" s="21" t="s">
        <v>143</v>
      </c>
      <c r="J304" s="21" t="s">
        <v>198</v>
      </c>
      <c r="K304" s="21" t="s">
        <v>225</v>
      </c>
      <c r="L304" s="21" t="s">
        <v>193</v>
      </c>
      <c r="M304" s="23" t="s">
        <v>147</v>
      </c>
      <c r="N304" s="24" t="s">
        <v>225</v>
      </c>
    </row>
    <row r="305" spans="1:14" ht="15" customHeight="1" x14ac:dyDescent="0.3">
      <c r="A305" s="25" t="s">
        <v>222</v>
      </c>
      <c r="B305" s="25" t="s">
        <v>270</v>
      </c>
      <c r="C305" s="25" t="s">
        <v>271</v>
      </c>
      <c r="D305" s="25" t="s">
        <v>197</v>
      </c>
      <c r="E305" s="25" t="s">
        <v>141</v>
      </c>
      <c r="F305" s="26">
        <v>35335</v>
      </c>
      <c r="G305" s="25" t="s">
        <v>142</v>
      </c>
      <c r="H305" s="27">
        <v>1000</v>
      </c>
      <c r="I305" s="25" t="s">
        <v>143</v>
      </c>
      <c r="J305" s="25" t="s">
        <v>198</v>
      </c>
      <c r="K305" s="25" t="s">
        <v>225</v>
      </c>
      <c r="L305" s="25" t="s">
        <v>193</v>
      </c>
      <c r="M305" s="27" t="s">
        <v>147</v>
      </c>
      <c r="N305" s="28" t="s">
        <v>225</v>
      </c>
    </row>
    <row r="306" spans="1:14" ht="15" customHeight="1" x14ac:dyDescent="0.3">
      <c r="A306" s="21" t="s">
        <v>222</v>
      </c>
      <c r="B306" s="21" t="s">
        <v>274</v>
      </c>
      <c r="C306" s="21" t="s">
        <v>275</v>
      </c>
      <c r="D306" s="21" t="s">
        <v>197</v>
      </c>
      <c r="E306" s="21" t="s">
        <v>141</v>
      </c>
      <c r="F306" s="22">
        <v>2735</v>
      </c>
      <c r="G306" s="21" t="s">
        <v>142</v>
      </c>
      <c r="H306" s="23">
        <v>1000</v>
      </c>
      <c r="I306" s="21" t="s">
        <v>143</v>
      </c>
      <c r="J306" s="21" t="s">
        <v>198</v>
      </c>
      <c r="K306" s="21" t="s">
        <v>225</v>
      </c>
      <c r="L306" s="21" t="s">
        <v>193</v>
      </c>
      <c r="M306" s="23" t="s">
        <v>147</v>
      </c>
      <c r="N306" s="24" t="s">
        <v>225</v>
      </c>
    </row>
    <row r="307" spans="1:14" ht="15" customHeight="1" x14ac:dyDescent="0.3">
      <c r="A307" s="25" t="s">
        <v>222</v>
      </c>
      <c r="B307" s="25" t="s">
        <v>272</v>
      </c>
      <c r="C307" s="25" t="s">
        <v>273</v>
      </c>
      <c r="D307" s="25" t="s">
        <v>197</v>
      </c>
      <c r="E307" s="25" t="s">
        <v>141</v>
      </c>
      <c r="F307" s="26">
        <v>227339</v>
      </c>
      <c r="G307" s="25" t="s">
        <v>142</v>
      </c>
      <c r="H307" s="27">
        <v>1000</v>
      </c>
      <c r="I307" s="25" t="s">
        <v>143</v>
      </c>
      <c r="J307" s="25" t="s">
        <v>198</v>
      </c>
      <c r="K307" s="25" t="s">
        <v>225</v>
      </c>
      <c r="L307" s="25" t="s">
        <v>193</v>
      </c>
      <c r="M307" s="27" t="s">
        <v>147</v>
      </c>
      <c r="N307" s="28" t="s">
        <v>225</v>
      </c>
    </row>
    <row r="308" spans="1:14" ht="15" customHeight="1" x14ac:dyDescent="0.3">
      <c r="A308" s="21" t="s">
        <v>222</v>
      </c>
      <c r="B308" s="21" t="s">
        <v>240</v>
      </c>
      <c r="C308" s="21" t="s">
        <v>241</v>
      </c>
      <c r="D308" s="21" t="s">
        <v>197</v>
      </c>
      <c r="E308" s="21" t="s">
        <v>141</v>
      </c>
      <c r="F308" s="22">
        <v>10083</v>
      </c>
      <c r="G308" s="21" t="s">
        <v>142</v>
      </c>
      <c r="H308" s="23">
        <v>1000</v>
      </c>
      <c r="I308" s="21" t="s">
        <v>143</v>
      </c>
      <c r="J308" s="21" t="s">
        <v>198</v>
      </c>
      <c r="K308" s="21" t="s">
        <v>225</v>
      </c>
      <c r="L308" s="21" t="s">
        <v>193</v>
      </c>
      <c r="M308" s="23" t="s">
        <v>147</v>
      </c>
      <c r="N308" s="24" t="s">
        <v>225</v>
      </c>
    </row>
    <row r="309" spans="1:14" ht="15" customHeight="1" x14ac:dyDescent="0.3">
      <c r="A309" s="25" t="s">
        <v>222</v>
      </c>
      <c r="B309" s="25" t="s">
        <v>242</v>
      </c>
      <c r="C309" s="25" t="s">
        <v>243</v>
      </c>
      <c r="D309" s="25" t="s">
        <v>197</v>
      </c>
      <c r="E309" s="25" t="s">
        <v>141</v>
      </c>
      <c r="F309" s="26">
        <v>1992182</v>
      </c>
      <c r="G309" s="25" t="s">
        <v>142</v>
      </c>
      <c r="H309" s="27">
        <v>1000</v>
      </c>
      <c r="I309" s="25" t="s">
        <v>143</v>
      </c>
      <c r="J309" s="25" t="s">
        <v>198</v>
      </c>
      <c r="K309" s="25" t="s">
        <v>225</v>
      </c>
      <c r="L309" s="25" t="s">
        <v>193</v>
      </c>
      <c r="M309" s="27" t="s">
        <v>147</v>
      </c>
      <c r="N309" s="28" t="s">
        <v>225</v>
      </c>
    </row>
    <row r="310" spans="1:14" ht="15" customHeight="1" x14ac:dyDescent="0.3">
      <c r="A310" s="21" t="s">
        <v>222</v>
      </c>
      <c r="B310" s="21" t="s">
        <v>244</v>
      </c>
      <c r="C310" s="21" t="s">
        <v>245</v>
      </c>
      <c r="D310" s="21" t="s">
        <v>197</v>
      </c>
      <c r="E310" s="21" t="s">
        <v>141</v>
      </c>
      <c r="F310" s="22">
        <v>496205</v>
      </c>
      <c r="G310" s="21" t="s">
        <v>142</v>
      </c>
      <c r="H310" s="23">
        <v>1000</v>
      </c>
      <c r="I310" s="21" t="s">
        <v>143</v>
      </c>
      <c r="J310" s="21" t="s">
        <v>198</v>
      </c>
      <c r="K310" s="21" t="s">
        <v>225</v>
      </c>
      <c r="L310" s="21" t="s">
        <v>193</v>
      </c>
      <c r="M310" s="23" t="s">
        <v>147</v>
      </c>
      <c r="N310" s="24" t="s">
        <v>225</v>
      </c>
    </row>
    <row r="311" spans="1:14" ht="15" customHeight="1" x14ac:dyDescent="0.3">
      <c r="A311" s="25" t="s">
        <v>222</v>
      </c>
      <c r="B311" s="25" t="s">
        <v>246</v>
      </c>
      <c r="C311" s="25" t="s">
        <v>247</v>
      </c>
      <c r="D311" s="25" t="s">
        <v>197</v>
      </c>
      <c r="E311" s="25" t="s">
        <v>141</v>
      </c>
      <c r="F311" s="26">
        <v>7998</v>
      </c>
      <c r="G311" s="25" t="s">
        <v>142</v>
      </c>
      <c r="H311" s="27">
        <v>1000</v>
      </c>
      <c r="I311" s="25" t="s">
        <v>143</v>
      </c>
      <c r="J311" s="25" t="s">
        <v>198</v>
      </c>
      <c r="K311" s="25" t="s">
        <v>225</v>
      </c>
      <c r="L311" s="25" t="s">
        <v>193</v>
      </c>
      <c r="M311" s="27" t="s">
        <v>147</v>
      </c>
      <c r="N311" s="28" t="s">
        <v>225</v>
      </c>
    </row>
    <row r="312" spans="1:14" ht="15" customHeight="1" x14ac:dyDescent="0.3">
      <c r="A312" s="21" t="s">
        <v>222</v>
      </c>
      <c r="B312" s="21" t="s">
        <v>248</v>
      </c>
      <c r="C312" s="21" t="s">
        <v>249</v>
      </c>
      <c r="D312" s="21" t="s">
        <v>197</v>
      </c>
      <c r="E312" s="21" t="s">
        <v>141</v>
      </c>
      <c r="F312" s="22">
        <v>1257</v>
      </c>
      <c r="G312" s="21" t="s">
        <v>142</v>
      </c>
      <c r="H312" s="23">
        <v>1000</v>
      </c>
      <c r="I312" s="21" t="s">
        <v>143</v>
      </c>
      <c r="J312" s="21" t="s">
        <v>198</v>
      </c>
      <c r="K312" s="21" t="s">
        <v>225</v>
      </c>
      <c r="L312" s="21" t="s">
        <v>193</v>
      </c>
      <c r="M312" s="23" t="s">
        <v>147</v>
      </c>
      <c r="N312" s="24" t="s">
        <v>225</v>
      </c>
    </row>
    <row r="313" spans="1:14" ht="15" customHeight="1" x14ac:dyDescent="0.3">
      <c r="A313" s="25" t="s">
        <v>222</v>
      </c>
      <c r="B313" s="25" t="s">
        <v>250</v>
      </c>
      <c r="C313" s="25" t="s">
        <v>251</v>
      </c>
      <c r="D313" s="25" t="s">
        <v>197</v>
      </c>
      <c r="E313" s="25" t="s">
        <v>141</v>
      </c>
      <c r="F313" s="26">
        <v>45688</v>
      </c>
      <c r="G313" s="25" t="s">
        <v>142</v>
      </c>
      <c r="H313" s="27">
        <v>1000</v>
      </c>
      <c r="I313" s="25" t="s">
        <v>143</v>
      </c>
      <c r="J313" s="25" t="s">
        <v>198</v>
      </c>
      <c r="K313" s="25" t="s">
        <v>225</v>
      </c>
      <c r="L313" s="25" t="s">
        <v>193</v>
      </c>
      <c r="M313" s="27" t="s">
        <v>147</v>
      </c>
      <c r="N313" s="28" t="s">
        <v>225</v>
      </c>
    </row>
    <row r="314" spans="1:14" ht="15" customHeight="1" x14ac:dyDescent="0.3">
      <c r="A314" s="21" t="s">
        <v>222</v>
      </c>
      <c r="B314" s="21" t="s">
        <v>252</v>
      </c>
      <c r="C314" s="21" t="s">
        <v>253</v>
      </c>
      <c r="D314" s="21" t="s">
        <v>197</v>
      </c>
      <c r="E314" s="21" t="s">
        <v>141</v>
      </c>
      <c r="F314" s="22">
        <v>551148</v>
      </c>
      <c r="G314" s="21" t="s">
        <v>142</v>
      </c>
      <c r="H314" s="23">
        <v>1000</v>
      </c>
      <c r="I314" s="21" t="s">
        <v>143</v>
      </c>
      <c r="J314" s="21" t="s">
        <v>198</v>
      </c>
      <c r="K314" s="21" t="s">
        <v>225</v>
      </c>
      <c r="L314" s="21" t="s">
        <v>193</v>
      </c>
      <c r="M314" s="23" t="s">
        <v>147</v>
      </c>
      <c r="N314" s="24" t="s">
        <v>225</v>
      </c>
    </row>
    <row r="315" spans="1:14" ht="15" customHeight="1" x14ac:dyDescent="0.3">
      <c r="A315" s="25" t="s">
        <v>222</v>
      </c>
      <c r="B315" s="25" t="s">
        <v>254</v>
      </c>
      <c r="C315" s="25" t="s">
        <v>255</v>
      </c>
      <c r="D315" s="25" t="s">
        <v>197</v>
      </c>
      <c r="E315" s="25" t="s">
        <v>141</v>
      </c>
      <c r="F315" s="26">
        <v>93779</v>
      </c>
      <c r="G315" s="25" t="s">
        <v>142</v>
      </c>
      <c r="H315" s="27">
        <v>1000</v>
      </c>
      <c r="I315" s="25" t="s">
        <v>143</v>
      </c>
      <c r="J315" s="25" t="s">
        <v>198</v>
      </c>
      <c r="K315" s="25" t="s">
        <v>225</v>
      </c>
      <c r="L315" s="25" t="s">
        <v>193</v>
      </c>
      <c r="M315" s="27" t="s">
        <v>147</v>
      </c>
      <c r="N315" s="28" t="s">
        <v>225</v>
      </c>
    </row>
    <row r="316" spans="1:14" ht="15" customHeight="1" x14ac:dyDescent="0.3">
      <c r="A316" s="21" t="s">
        <v>222</v>
      </c>
      <c r="B316" s="21" t="s">
        <v>282</v>
      </c>
      <c r="C316" s="21" t="s">
        <v>283</v>
      </c>
      <c r="D316" s="21" t="s">
        <v>197</v>
      </c>
      <c r="E316" s="21" t="s">
        <v>141</v>
      </c>
      <c r="F316" s="22">
        <v>249</v>
      </c>
      <c r="G316" s="21" t="s">
        <v>142</v>
      </c>
      <c r="H316" s="23">
        <v>1000</v>
      </c>
      <c r="I316" s="21" t="s">
        <v>143</v>
      </c>
      <c r="J316" s="21" t="s">
        <v>198</v>
      </c>
      <c r="K316" s="21" t="s">
        <v>225</v>
      </c>
      <c r="L316" s="21" t="s">
        <v>193</v>
      </c>
      <c r="M316" s="23" t="s">
        <v>147</v>
      </c>
      <c r="N316" s="24" t="s">
        <v>225</v>
      </c>
    </row>
    <row r="317" spans="1:14" ht="15" customHeight="1" x14ac:dyDescent="0.3">
      <c r="A317" s="25" t="s">
        <v>222</v>
      </c>
      <c r="B317" s="25" t="s">
        <v>256</v>
      </c>
      <c r="C317" s="25" t="s">
        <v>257</v>
      </c>
      <c r="D317" s="25" t="s">
        <v>197</v>
      </c>
      <c r="E317" s="25" t="s">
        <v>141</v>
      </c>
      <c r="F317" s="26">
        <v>645176</v>
      </c>
      <c r="G317" s="25" t="s">
        <v>142</v>
      </c>
      <c r="H317" s="27">
        <v>1000</v>
      </c>
      <c r="I317" s="25" t="s">
        <v>143</v>
      </c>
      <c r="J317" s="25" t="s">
        <v>198</v>
      </c>
      <c r="K317" s="25" t="s">
        <v>225</v>
      </c>
      <c r="L317" s="25" t="s">
        <v>193</v>
      </c>
      <c r="M317" s="27" t="s">
        <v>147</v>
      </c>
      <c r="N317" s="28" t="s">
        <v>225</v>
      </c>
    </row>
    <row r="318" spans="1:14" ht="15" customHeight="1" x14ac:dyDescent="0.3">
      <c r="A318" s="21" t="s">
        <v>222</v>
      </c>
      <c r="B318" s="21" t="s">
        <v>258</v>
      </c>
      <c r="C318" s="21" t="s">
        <v>259</v>
      </c>
      <c r="D318" s="21" t="s">
        <v>197</v>
      </c>
      <c r="E318" s="21" t="s">
        <v>141</v>
      </c>
      <c r="F318" s="22">
        <v>5</v>
      </c>
      <c r="G318" s="21" t="s">
        <v>142</v>
      </c>
      <c r="H318" s="23">
        <v>1000</v>
      </c>
      <c r="I318" s="21" t="s">
        <v>143</v>
      </c>
      <c r="J318" s="21" t="s">
        <v>198</v>
      </c>
      <c r="K318" s="21" t="s">
        <v>225</v>
      </c>
      <c r="L318" s="21" t="s">
        <v>193</v>
      </c>
      <c r="M318" s="23" t="s">
        <v>147</v>
      </c>
      <c r="N318" s="24" t="s">
        <v>225</v>
      </c>
    </row>
    <row r="319" spans="1:14" ht="15" customHeight="1" x14ac:dyDescent="0.3">
      <c r="A319" s="25" t="s">
        <v>222</v>
      </c>
      <c r="B319" s="25" t="s">
        <v>260</v>
      </c>
      <c r="C319" s="25" t="s">
        <v>261</v>
      </c>
      <c r="D319" s="25" t="s">
        <v>197</v>
      </c>
      <c r="E319" s="25" t="s">
        <v>141</v>
      </c>
      <c r="F319" s="26">
        <v>1058783</v>
      </c>
      <c r="G319" s="25" t="s">
        <v>142</v>
      </c>
      <c r="H319" s="27">
        <v>1000</v>
      </c>
      <c r="I319" s="25" t="s">
        <v>143</v>
      </c>
      <c r="J319" s="25" t="s">
        <v>198</v>
      </c>
      <c r="K319" s="25" t="s">
        <v>225</v>
      </c>
      <c r="L319" s="25" t="s">
        <v>193</v>
      </c>
      <c r="M319" s="27" t="s">
        <v>147</v>
      </c>
      <c r="N319" s="28" t="s">
        <v>225</v>
      </c>
    </row>
    <row r="320" spans="1:14" ht="15" customHeight="1" x14ac:dyDescent="0.3">
      <c r="A320" s="21" t="s">
        <v>222</v>
      </c>
      <c r="B320" s="21" t="s">
        <v>262</v>
      </c>
      <c r="C320" s="21" t="s">
        <v>263</v>
      </c>
      <c r="D320" s="21" t="s">
        <v>197</v>
      </c>
      <c r="E320" s="21" t="s">
        <v>141</v>
      </c>
      <c r="F320" s="22">
        <v>288218</v>
      </c>
      <c r="G320" s="21" t="s">
        <v>142</v>
      </c>
      <c r="H320" s="23">
        <v>1000</v>
      </c>
      <c r="I320" s="21" t="s">
        <v>143</v>
      </c>
      <c r="J320" s="21" t="s">
        <v>198</v>
      </c>
      <c r="K320" s="21" t="s">
        <v>225</v>
      </c>
      <c r="L320" s="21" t="s">
        <v>193</v>
      </c>
      <c r="M320" s="23" t="s">
        <v>147</v>
      </c>
      <c r="N320" s="24" t="s">
        <v>225</v>
      </c>
    </row>
    <row r="321" spans="1:14" ht="15" customHeight="1" x14ac:dyDescent="0.3">
      <c r="A321" s="25" t="s">
        <v>222</v>
      </c>
      <c r="B321" s="25" t="s">
        <v>264</v>
      </c>
      <c r="C321" s="25" t="s">
        <v>265</v>
      </c>
      <c r="D321" s="25" t="s">
        <v>197</v>
      </c>
      <c r="E321" s="25" t="s">
        <v>141</v>
      </c>
      <c r="F321" s="26">
        <v>1347006</v>
      </c>
      <c r="G321" s="25" t="s">
        <v>142</v>
      </c>
      <c r="H321" s="27">
        <v>1000</v>
      </c>
      <c r="I321" s="25" t="s">
        <v>143</v>
      </c>
      <c r="J321" s="25" t="s">
        <v>198</v>
      </c>
      <c r="K321" s="25" t="s">
        <v>225</v>
      </c>
      <c r="L321" s="25" t="s">
        <v>193</v>
      </c>
      <c r="M321" s="27" t="s">
        <v>147</v>
      </c>
      <c r="N321" s="28" t="s">
        <v>225</v>
      </c>
    </row>
    <row r="322" spans="1:14" ht="15" customHeight="1" x14ac:dyDescent="0.3">
      <c r="A322" s="21" t="s">
        <v>222</v>
      </c>
      <c r="B322" s="21" t="s">
        <v>266</v>
      </c>
      <c r="C322" s="21" t="s">
        <v>267</v>
      </c>
      <c r="D322" s="21" t="s">
        <v>197</v>
      </c>
      <c r="E322" s="21" t="s">
        <v>141</v>
      </c>
      <c r="F322" s="22">
        <v>1992182</v>
      </c>
      <c r="G322" s="21" t="s">
        <v>142</v>
      </c>
      <c r="H322" s="23">
        <v>1000</v>
      </c>
      <c r="I322" s="21" t="s">
        <v>143</v>
      </c>
      <c r="J322" s="21" t="s">
        <v>198</v>
      </c>
      <c r="K322" s="21" t="s">
        <v>225</v>
      </c>
      <c r="L322" s="21" t="s">
        <v>193</v>
      </c>
      <c r="M322" s="23" t="s">
        <v>147</v>
      </c>
      <c r="N322" s="24" t="s">
        <v>225</v>
      </c>
    </row>
    <row r="323" spans="1:14" ht="15" customHeight="1" x14ac:dyDescent="0.3">
      <c r="A323" s="25" t="s">
        <v>222</v>
      </c>
      <c r="B323" s="25" t="s">
        <v>223</v>
      </c>
      <c r="C323" s="25" t="s">
        <v>224</v>
      </c>
      <c r="D323" s="25" t="s">
        <v>208</v>
      </c>
      <c r="E323" s="25" t="s">
        <v>200</v>
      </c>
      <c r="F323" s="26">
        <v>1180887</v>
      </c>
      <c r="G323" s="25" t="s">
        <v>142</v>
      </c>
      <c r="H323" s="27">
        <v>1000</v>
      </c>
      <c r="I323" s="25" t="s">
        <v>201</v>
      </c>
      <c r="J323" s="25" t="s">
        <v>284</v>
      </c>
      <c r="K323" s="25" t="s">
        <v>285</v>
      </c>
      <c r="L323" s="25" t="s">
        <v>210</v>
      </c>
      <c r="M323" s="27" t="s">
        <v>147</v>
      </c>
      <c r="N323" s="28" t="s">
        <v>285</v>
      </c>
    </row>
    <row r="324" spans="1:14" ht="15" customHeight="1" x14ac:dyDescent="0.3">
      <c r="A324" s="21" t="s">
        <v>222</v>
      </c>
      <c r="B324" s="21" t="s">
        <v>276</v>
      </c>
      <c r="C324" s="21" t="s">
        <v>277</v>
      </c>
      <c r="D324" s="21" t="s">
        <v>208</v>
      </c>
      <c r="E324" s="21" t="s">
        <v>200</v>
      </c>
      <c r="F324" s="22">
        <v>132979</v>
      </c>
      <c r="G324" s="21" t="s">
        <v>142</v>
      </c>
      <c r="H324" s="23">
        <v>1000</v>
      </c>
      <c r="I324" s="21" t="s">
        <v>201</v>
      </c>
      <c r="J324" s="21" t="s">
        <v>284</v>
      </c>
      <c r="K324" s="21" t="s">
        <v>285</v>
      </c>
      <c r="L324" s="21" t="s">
        <v>210</v>
      </c>
      <c r="M324" s="23" t="s">
        <v>147</v>
      </c>
      <c r="N324" s="24" t="s">
        <v>285</v>
      </c>
    </row>
    <row r="325" spans="1:14" ht="15" customHeight="1" x14ac:dyDescent="0.3">
      <c r="A325" s="25" t="s">
        <v>222</v>
      </c>
      <c r="B325" s="25" t="s">
        <v>226</v>
      </c>
      <c r="C325" s="25" t="s">
        <v>227</v>
      </c>
      <c r="D325" s="25" t="s">
        <v>208</v>
      </c>
      <c r="E325" s="25" t="s">
        <v>200</v>
      </c>
      <c r="F325" s="26">
        <v>130979</v>
      </c>
      <c r="G325" s="25" t="s">
        <v>142</v>
      </c>
      <c r="H325" s="27">
        <v>1000</v>
      </c>
      <c r="I325" s="25" t="s">
        <v>201</v>
      </c>
      <c r="J325" s="25" t="s">
        <v>284</v>
      </c>
      <c r="K325" s="25" t="s">
        <v>285</v>
      </c>
      <c r="L325" s="25" t="s">
        <v>210</v>
      </c>
      <c r="M325" s="27" t="s">
        <v>147</v>
      </c>
      <c r="N325" s="28" t="s">
        <v>285</v>
      </c>
    </row>
    <row r="326" spans="1:14" ht="15" customHeight="1" x14ac:dyDescent="0.3">
      <c r="A326" s="21" t="s">
        <v>222</v>
      </c>
      <c r="B326" s="21" t="s">
        <v>228</v>
      </c>
      <c r="C326" s="21" t="s">
        <v>229</v>
      </c>
      <c r="D326" s="21" t="s">
        <v>208</v>
      </c>
      <c r="E326" s="21" t="s">
        <v>200</v>
      </c>
      <c r="F326" s="22">
        <v>102689</v>
      </c>
      <c r="G326" s="21" t="s">
        <v>142</v>
      </c>
      <c r="H326" s="23">
        <v>1000</v>
      </c>
      <c r="I326" s="21" t="s">
        <v>201</v>
      </c>
      <c r="J326" s="21" t="s">
        <v>284</v>
      </c>
      <c r="K326" s="21" t="s">
        <v>285</v>
      </c>
      <c r="L326" s="21" t="s">
        <v>210</v>
      </c>
      <c r="M326" s="23" t="s">
        <v>147</v>
      </c>
      <c r="N326" s="24" t="s">
        <v>285</v>
      </c>
    </row>
    <row r="327" spans="1:14" ht="15" customHeight="1" x14ac:dyDescent="0.3">
      <c r="A327" s="25" t="s">
        <v>222</v>
      </c>
      <c r="B327" s="25" t="s">
        <v>278</v>
      </c>
      <c r="C327" s="25" t="s">
        <v>279</v>
      </c>
      <c r="D327" s="25" t="s">
        <v>208</v>
      </c>
      <c r="E327" s="25" t="s">
        <v>200</v>
      </c>
      <c r="F327" s="26">
        <v>2707</v>
      </c>
      <c r="G327" s="25" t="s">
        <v>142</v>
      </c>
      <c r="H327" s="27">
        <v>1000</v>
      </c>
      <c r="I327" s="25" t="s">
        <v>201</v>
      </c>
      <c r="J327" s="25" t="s">
        <v>284</v>
      </c>
      <c r="K327" s="25" t="s">
        <v>285</v>
      </c>
      <c r="L327" s="25" t="s">
        <v>210</v>
      </c>
      <c r="M327" s="27" t="s">
        <v>147</v>
      </c>
      <c r="N327" s="28" t="s">
        <v>285</v>
      </c>
    </row>
    <row r="328" spans="1:14" ht="15" customHeight="1" x14ac:dyDescent="0.3">
      <c r="A328" s="21" t="s">
        <v>222</v>
      </c>
      <c r="B328" s="21" t="s">
        <v>230</v>
      </c>
      <c r="C328" s="21" t="s">
        <v>231</v>
      </c>
      <c r="D328" s="21" t="s">
        <v>208</v>
      </c>
      <c r="E328" s="21" t="s">
        <v>200</v>
      </c>
      <c r="F328" s="22">
        <v>20873</v>
      </c>
      <c r="G328" s="21" t="s">
        <v>142</v>
      </c>
      <c r="H328" s="23">
        <v>1000</v>
      </c>
      <c r="I328" s="21" t="s">
        <v>201</v>
      </c>
      <c r="J328" s="21" t="s">
        <v>284</v>
      </c>
      <c r="K328" s="21" t="s">
        <v>285</v>
      </c>
      <c r="L328" s="21" t="s">
        <v>210</v>
      </c>
      <c r="M328" s="23" t="s">
        <v>147</v>
      </c>
      <c r="N328" s="24" t="s">
        <v>285</v>
      </c>
    </row>
    <row r="329" spans="1:14" ht="15" customHeight="1" x14ac:dyDescent="0.3">
      <c r="A329" s="25" t="s">
        <v>222</v>
      </c>
      <c r="B329" s="25" t="s">
        <v>232</v>
      </c>
      <c r="C329" s="25" t="s">
        <v>233</v>
      </c>
      <c r="D329" s="25" t="s">
        <v>208</v>
      </c>
      <c r="E329" s="25" t="s">
        <v>200</v>
      </c>
      <c r="F329" s="26">
        <v>1571114</v>
      </c>
      <c r="G329" s="25" t="s">
        <v>142</v>
      </c>
      <c r="H329" s="27">
        <v>1000</v>
      </c>
      <c r="I329" s="25" t="s">
        <v>201</v>
      </c>
      <c r="J329" s="25" t="s">
        <v>284</v>
      </c>
      <c r="K329" s="25" t="s">
        <v>285</v>
      </c>
      <c r="L329" s="25" t="s">
        <v>210</v>
      </c>
      <c r="M329" s="27" t="s">
        <v>147</v>
      </c>
      <c r="N329" s="28" t="s">
        <v>285</v>
      </c>
    </row>
    <row r="330" spans="1:14" ht="15" customHeight="1" x14ac:dyDescent="0.3">
      <c r="A330" s="21" t="s">
        <v>222</v>
      </c>
      <c r="B330" s="21" t="s">
        <v>234</v>
      </c>
      <c r="C330" s="21" t="s">
        <v>235</v>
      </c>
      <c r="D330" s="21" t="s">
        <v>208</v>
      </c>
      <c r="E330" s="21" t="s">
        <v>200</v>
      </c>
      <c r="F330" s="22">
        <v>74830</v>
      </c>
      <c r="G330" s="21" t="s">
        <v>142</v>
      </c>
      <c r="H330" s="23">
        <v>1000</v>
      </c>
      <c r="I330" s="21" t="s">
        <v>201</v>
      </c>
      <c r="J330" s="21" t="s">
        <v>284</v>
      </c>
      <c r="K330" s="21" t="s">
        <v>285</v>
      </c>
      <c r="L330" s="21" t="s">
        <v>210</v>
      </c>
      <c r="M330" s="23" t="s">
        <v>147</v>
      </c>
      <c r="N330" s="24" t="s">
        <v>285</v>
      </c>
    </row>
    <row r="331" spans="1:14" ht="15" customHeight="1" x14ac:dyDescent="0.3">
      <c r="A331" s="25" t="s">
        <v>222</v>
      </c>
      <c r="B331" s="25" t="s">
        <v>280</v>
      </c>
      <c r="C331" s="25" t="s">
        <v>281</v>
      </c>
      <c r="D331" s="25" t="s">
        <v>208</v>
      </c>
      <c r="E331" s="25" t="s">
        <v>200</v>
      </c>
      <c r="F331" s="26">
        <v>102693</v>
      </c>
      <c r="G331" s="25" t="s">
        <v>142</v>
      </c>
      <c r="H331" s="27">
        <v>1000</v>
      </c>
      <c r="I331" s="25" t="s">
        <v>201</v>
      </c>
      <c r="J331" s="25" t="s">
        <v>284</v>
      </c>
      <c r="K331" s="25" t="s">
        <v>285</v>
      </c>
      <c r="L331" s="25" t="s">
        <v>210</v>
      </c>
      <c r="M331" s="27" t="s">
        <v>147</v>
      </c>
      <c r="N331" s="28" t="s">
        <v>285</v>
      </c>
    </row>
    <row r="332" spans="1:14" ht="15" customHeight="1" x14ac:dyDescent="0.3">
      <c r="A332" s="21" t="s">
        <v>222</v>
      </c>
      <c r="B332" s="21" t="s">
        <v>268</v>
      </c>
      <c r="C332" s="21" t="s">
        <v>269</v>
      </c>
      <c r="D332" s="21" t="s">
        <v>208</v>
      </c>
      <c r="E332" s="21" t="s">
        <v>200</v>
      </c>
      <c r="F332" s="22">
        <v>27598</v>
      </c>
      <c r="G332" s="21" t="s">
        <v>142</v>
      </c>
      <c r="H332" s="23">
        <v>1000</v>
      </c>
      <c r="I332" s="21" t="s">
        <v>201</v>
      </c>
      <c r="J332" s="21" t="s">
        <v>284</v>
      </c>
      <c r="K332" s="21" t="s">
        <v>285</v>
      </c>
      <c r="L332" s="21" t="s">
        <v>210</v>
      </c>
      <c r="M332" s="23" t="s">
        <v>147</v>
      </c>
      <c r="N332" s="24" t="s">
        <v>285</v>
      </c>
    </row>
    <row r="333" spans="1:14" ht="15" customHeight="1" x14ac:dyDescent="0.3">
      <c r="A333" s="25" t="s">
        <v>222</v>
      </c>
      <c r="B333" s="25" t="s">
        <v>236</v>
      </c>
      <c r="C333" s="25" t="s">
        <v>237</v>
      </c>
      <c r="D333" s="25" t="s">
        <v>208</v>
      </c>
      <c r="E333" s="25" t="s">
        <v>200</v>
      </c>
      <c r="F333" s="26">
        <v>42619</v>
      </c>
      <c r="G333" s="25" t="s">
        <v>142</v>
      </c>
      <c r="H333" s="27">
        <v>1000</v>
      </c>
      <c r="I333" s="25" t="s">
        <v>201</v>
      </c>
      <c r="J333" s="25" t="s">
        <v>284</v>
      </c>
      <c r="K333" s="25" t="s">
        <v>285</v>
      </c>
      <c r="L333" s="25" t="s">
        <v>210</v>
      </c>
      <c r="M333" s="27" t="s">
        <v>147</v>
      </c>
      <c r="N333" s="28" t="s">
        <v>285</v>
      </c>
    </row>
    <row r="334" spans="1:14" ht="15" customHeight="1" x14ac:dyDescent="0.3">
      <c r="A334" s="21" t="s">
        <v>222</v>
      </c>
      <c r="B334" s="21" t="s">
        <v>270</v>
      </c>
      <c r="C334" s="21" t="s">
        <v>271</v>
      </c>
      <c r="D334" s="21" t="s">
        <v>208</v>
      </c>
      <c r="E334" s="21" t="s">
        <v>200</v>
      </c>
      <c r="F334" s="22">
        <v>35335</v>
      </c>
      <c r="G334" s="21" t="s">
        <v>142</v>
      </c>
      <c r="H334" s="23">
        <v>1000</v>
      </c>
      <c r="I334" s="21" t="s">
        <v>201</v>
      </c>
      <c r="J334" s="21" t="s">
        <v>284</v>
      </c>
      <c r="K334" s="21" t="s">
        <v>285</v>
      </c>
      <c r="L334" s="21" t="s">
        <v>210</v>
      </c>
      <c r="M334" s="23" t="s">
        <v>147</v>
      </c>
      <c r="N334" s="24" t="s">
        <v>285</v>
      </c>
    </row>
    <row r="335" spans="1:14" ht="15" customHeight="1" x14ac:dyDescent="0.3">
      <c r="A335" s="25" t="s">
        <v>222</v>
      </c>
      <c r="B335" s="25" t="s">
        <v>274</v>
      </c>
      <c r="C335" s="25" t="s">
        <v>275</v>
      </c>
      <c r="D335" s="25" t="s">
        <v>208</v>
      </c>
      <c r="E335" s="25" t="s">
        <v>200</v>
      </c>
      <c r="F335" s="26">
        <v>2735</v>
      </c>
      <c r="G335" s="25" t="s">
        <v>142</v>
      </c>
      <c r="H335" s="27">
        <v>1000</v>
      </c>
      <c r="I335" s="25" t="s">
        <v>201</v>
      </c>
      <c r="J335" s="25" t="s">
        <v>284</v>
      </c>
      <c r="K335" s="25" t="s">
        <v>285</v>
      </c>
      <c r="L335" s="25" t="s">
        <v>210</v>
      </c>
      <c r="M335" s="27" t="s">
        <v>147</v>
      </c>
      <c r="N335" s="28" t="s">
        <v>285</v>
      </c>
    </row>
    <row r="336" spans="1:14" ht="15" customHeight="1" x14ac:dyDescent="0.3">
      <c r="A336" s="21" t="s">
        <v>222</v>
      </c>
      <c r="B336" s="21" t="s">
        <v>272</v>
      </c>
      <c r="C336" s="21" t="s">
        <v>273</v>
      </c>
      <c r="D336" s="21" t="s">
        <v>208</v>
      </c>
      <c r="E336" s="21" t="s">
        <v>200</v>
      </c>
      <c r="F336" s="22">
        <v>206039</v>
      </c>
      <c r="G336" s="21" t="s">
        <v>142</v>
      </c>
      <c r="H336" s="23">
        <v>1000</v>
      </c>
      <c r="I336" s="21" t="s">
        <v>201</v>
      </c>
      <c r="J336" s="21" t="s">
        <v>284</v>
      </c>
      <c r="K336" s="21" t="s">
        <v>285</v>
      </c>
      <c r="L336" s="21" t="s">
        <v>210</v>
      </c>
      <c r="M336" s="23" t="s">
        <v>147</v>
      </c>
      <c r="N336" s="24" t="s">
        <v>285</v>
      </c>
    </row>
    <row r="337" spans="1:14" ht="15" customHeight="1" x14ac:dyDescent="0.3">
      <c r="A337" s="25" t="s">
        <v>222</v>
      </c>
      <c r="B337" s="25" t="s">
        <v>240</v>
      </c>
      <c r="C337" s="25" t="s">
        <v>241</v>
      </c>
      <c r="D337" s="25" t="s">
        <v>208</v>
      </c>
      <c r="E337" s="25" t="s">
        <v>200</v>
      </c>
      <c r="F337" s="26">
        <v>10990</v>
      </c>
      <c r="G337" s="25" t="s">
        <v>142</v>
      </c>
      <c r="H337" s="27">
        <v>1000</v>
      </c>
      <c r="I337" s="25" t="s">
        <v>201</v>
      </c>
      <c r="J337" s="25" t="s">
        <v>284</v>
      </c>
      <c r="K337" s="25" t="s">
        <v>285</v>
      </c>
      <c r="L337" s="25" t="s">
        <v>210</v>
      </c>
      <c r="M337" s="27" t="s">
        <v>147</v>
      </c>
      <c r="N337" s="28" t="s">
        <v>285</v>
      </c>
    </row>
    <row r="338" spans="1:14" ht="15" customHeight="1" x14ac:dyDescent="0.3">
      <c r="A338" s="21" t="s">
        <v>222</v>
      </c>
      <c r="B338" s="21" t="s">
        <v>242</v>
      </c>
      <c r="C338" s="21" t="s">
        <v>243</v>
      </c>
      <c r="D338" s="21" t="s">
        <v>208</v>
      </c>
      <c r="E338" s="21" t="s">
        <v>200</v>
      </c>
      <c r="F338" s="22">
        <v>2073953</v>
      </c>
      <c r="G338" s="21" t="s">
        <v>142</v>
      </c>
      <c r="H338" s="23">
        <v>1000</v>
      </c>
      <c r="I338" s="21" t="s">
        <v>201</v>
      </c>
      <c r="J338" s="21" t="s">
        <v>284</v>
      </c>
      <c r="K338" s="21" t="s">
        <v>285</v>
      </c>
      <c r="L338" s="21" t="s">
        <v>210</v>
      </c>
      <c r="M338" s="23" t="s">
        <v>147</v>
      </c>
      <c r="N338" s="24" t="s">
        <v>285</v>
      </c>
    </row>
    <row r="339" spans="1:14" ht="15" customHeight="1" x14ac:dyDescent="0.3">
      <c r="A339" s="25" t="s">
        <v>222</v>
      </c>
      <c r="B339" s="25" t="s">
        <v>244</v>
      </c>
      <c r="C339" s="25" t="s">
        <v>245</v>
      </c>
      <c r="D339" s="25" t="s">
        <v>208</v>
      </c>
      <c r="E339" s="25" t="s">
        <v>200</v>
      </c>
      <c r="F339" s="26">
        <v>505102</v>
      </c>
      <c r="G339" s="25" t="s">
        <v>142</v>
      </c>
      <c r="H339" s="27">
        <v>1000</v>
      </c>
      <c r="I339" s="25" t="s">
        <v>201</v>
      </c>
      <c r="J339" s="25" t="s">
        <v>284</v>
      </c>
      <c r="K339" s="25" t="s">
        <v>285</v>
      </c>
      <c r="L339" s="25" t="s">
        <v>210</v>
      </c>
      <c r="M339" s="27" t="s">
        <v>147</v>
      </c>
      <c r="N339" s="28" t="s">
        <v>285</v>
      </c>
    </row>
    <row r="340" spans="1:14" ht="15" customHeight="1" x14ac:dyDescent="0.3">
      <c r="A340" s="21" t="s">
        <v>222</v>
      </c>
      <c r="B340" s="21" t="s">
        <v>246</v>
      </c>
      <c r="C340" s="21" t="s">
        <v>247</v>
      </c>
      <c r="D340" s="21" t="s">
        <v>208</v>
      </c>
      <c r="E340" s="21" t="s">
        <v>200</v>
      </c>
      <c r="F340" s="22">
        <v>16196</v>
      </c>
      <c r="G340" s="21" t="s">
        <v>142</v>
      </c>
      <c r="H340" s="23">
        <v>1000</v>
      </c>
      <c r="I340" s="21" t="s">
        <v>201</v>
      </c>
      <c r="J340" s="21" t="s">
        <v>284</v>
      </c>
      <c r="K340" s="21" t="s">
        <v>285</v>
      </c>
      <c r="L340" s="21" t="s">
        <v>210</v>
      </c>
      <c r="M340" s="23" t="s">
        <v>147</v>
      </c>
      <c r="N340" s="24" t="s">
        <v>285</v>
      </c>
    </row>
    <row r="341" spans="1:14" ht="15" customHeight="1" x14ac:dyDescent="0.3">
      <c r="A341" s="25" t="s">
        <v>222</v>
      </c>
      <c r="B341" s="25" t="s">
        <v>248</v>
      </c>
      <c r="C341" s="25" t="s">
        <v>249</v>
      </c>
      <c r="D341" s="25" t="s">
        <v>208</v>
      </c>
      <c r="E341" s="25" t="s">
        <v>200</v>
      </c>
      <c r="F341" s="26">
        <v>1106</v>
      </c>
      <c r="G341" s="25" t="s">
        <v>142</v>
      </c>
      <c r="H341" s="27">
        <v>1000</v>
      </c>
      <c r="I341" s="25" t="s">
        <v>201</v>
      </c>
      <c r="J341" s="25" t="s">
        <v>284</v>
      </c>
      <c r="K341" s="25" t="s">
        <v>285</v>
      </c>
      <c r="L341" s="25" t="s">
        <v>210</v>
      </c>
      <c r="M341" s="27" t="s">
        <v>147</v>
      </c>
      <c r="N341" s="28" t="s">
        <v>285</v>
      </c>
    </row>
    <row r="342" spans="1:14" ht="15" customHeight="1" x14ac:dyDescent="0.3">
      <c r="A342" s="21" t="s">
        <v>222</v>
      </c>
      <c r="B342" s="21" t="s">
        <v>250</v>
      </c>
      <c r="C342" s="21" t="s">
        <v>251</v>
      </c>
      <c r="D342" s="21" t="s">
        <v>208</v>
      </c>
      <c r="E342" s="21" t="s">
        <v>200</v>
      </c>
      <c r="F342" s="22">
        <v>55429</v>
      </c>
      <c r="G342" s="21" t="s">
        <v>142</v>
      </c>
      <c r="H342" s="23">
        <v>1000</v>
      </c>
      <c r="I342" s="21" t="s">
        <v>201</v>
      </c>
      <c r="J342" s="21" t="s">
        <v>284</v>
      </c>
      <c r="K342" s="21" t="s">
        <v>285</v>
      </c>
      <c r="L342" s="21" t="s">
        <v>210</v>
      </c>
      <c r="M342" s="23" t="s">
        <v>147</v>
      </c>
      <c r="N342" s="24" t="s">
        <v>285</v>
      </c>
    </row>
    <row r="343" spans="1:14" ht="15" customHeight="1" x14ac:dyDescent="0.3">
      <c r="A343" s="25" t="s">
        <v>222</v>
      </c>
      <c r="B343" s="25" t="s">
        <v>252</v>
      </c>
      <c r="C343" s="25" t="s">
        <v>253</v>
      </c>
      <c r="D343" s="25" t="s">
        <v>208</v>
      </c>
      <c r="E343" s="25" t="s">
        <v>200</v>
      </c>
      <c r="F343" s="26">
        <v>577833</v>
      </c>
      <c r="G343" s="25" t="s">
        <v>142</v>
      </c>
      <c r="H343" s="27">
        <v>1000</v>
      </c>
      <c r="I343" s="25" t="s">
        <v>201</v>
      </c>
      <c r="J343" s="25" t="s">
        <v>284</v>
      </c>
      <c r="K343" s="25" t="s">
        <v>285</v>
      </c>
      <c r="L343" s="25" t="s">
        <v>210</v>
      </c>
      <c r="M343" s="27" t="s">
        <v>147</v>
      </c>
      <c r="N343" s="28" t="s">
        <v>285</v>
      </c>
    </row>
    <row r="344" spans="1:14" ht="15" customHeight="1" x14ac:dyDescent="0.3">
      <c r="A344" s="21" t="s">
        <v>222</v>
      </c>
      <c r="B344" s="21" t="s">
        <v>254</v>
      </c>
      <c r="C344" s="21" t="s">
        <v>255</v>
      </c>
      <c r="D344" s="21" t="s">
        <v>208</v>
      </c>
      <c r="E344" s="21" t="s">
        <v>200</v>
      </c>
      <c r="F344" s="22">
        <v>86136</v>
      </c>
      <c r="G344" s="21" t="s">
        <v>142</v>
      </c>
      <c r="H344" s="23">
        <v>1000</v>
      </c>
      <c r="I344" s="21" t="s">
        <v>201</v>
      </c>
      <c r="J344" s="21" t="s">
        <v>284</v>
      </c>
      <c r="K344" s="21" t="s">
        <v>285</v>
      </c>
      <c r="L344" s="21" t="s">
        <v>210</v>
      </c>
      <c r="M344" s="23" t="s">
        <v>147</v>
      </c>
      <c r="N344" s="24" t="s">
        <v>285</v>
      </c>
    </row>
    <row r="345" spans="1:14" ht="15" customHeight="1" x14ac:dyDescent="0.3">
      <c r="A345" s="25" t="s">
        <v>222</v>
      </c>
      <c r="B345" s="25" t="s">
        <v>282</v>
      </c>
      <c r="C345" s="25" t="s">
        <v>283</v>
      </c>
      <c r="D345" s="25" t="s">
        <v>208</v>
      </c>
      <c r="E345" s="25" t="s">
        <v>200</v>
      </c>
      <c r="F345" s="26">
        <v>242</v>
      </c>
      <c r="G345" s="25" t="s">
        <v>142</v>
      </c>
      <c r="H345" s="27">
        <v>1000</v>
      </c>
      <c r="I345" s="25" t="s">
        <v>201</v>
      </c>
      <c r="J345" s="25" t="s">
        <v>284</v>
      </c>
      <c r="K345" s="25" t="s">
        <v>285</v>
      </c>
      <c r="L345" s="25" t="s">
        <v>210</v>
      </c>
      <c r="M345" s="27" t="s">
        <v>147</v>
      </c>
      <c r="N345" s="28" t="s">
        <v>285</v>
      </c>
    </row>
    <row r="346" spans="1:14" ht="15" customHeight="1" x14ac:dyDescent="0.3">
      <c r="A346" s="21" t="s">
        <v>222</v>
      </c>
      <c r="B346" s="21" t="s">
        <v>256</v>
      </c>
      <c r="C346" s="21" t="s">
        <v>257</v>
      </c>
      <c r="D346" s="21" t="s">
        <v>208</v>
      </c>
      <c r="E346" s="21" t="s">
        <v>200</v>
      </c>
      <c r="F346" s="22">
        <v>664211</v>
      </c>
      <c r="G346" s="21" t="s">
        <v>142</v>
      </c>
      <c r="H346" s="23">
        <v>1000</v>
      </c>
      <c r="I346" s="21" t="s">
        <v>201</v>
      </c>
      <c r="J346" s="21" t="s">
        <v>284</v>
      </c>
      <c r="K346" s="21" t="s">
        <v>285</v>
      </c>
      <c r="L346" s="21" t="s">
        <v>210</v>
      </c>
      <c r="M346" s="23" t="s">
        <v>147</v>
      </c>
      <c r="N346" s="24" t="s">
        <v>285</v>
      </c>
    </row>
    <row r="347" spans="1:14" ht="15" customHeight="1" x14ac:dyDescent="0.3">
      <c r="A347" s="25" t="s">
        <v>222</v>
      </c>
      <c r="B347" s="25" t="s">
        <v>258</v>
      </c>
      <c r="C347" s="25" t="s">
        <v>259</v>
      </c>
      <c r="D347" s="25" t="s">
        <v>208</v>
      </c>
      <c r="E347" s="25" t="s">
        <v>200</v>
      </c>
      <c r="F347" s="26">
        <v>5</v>
      </c>
      <c r="G347" s="25" t="s">
        <v>142</v>
      </c>
      <c r="H347" s="27">
        <v>1000</v>
      </c>
      <c r="I347" s="25" t="s">
        <v>201</v>
      </c>
      <c r="J347" s="25" t="s">
        <v>284</v>
      </c>
      <c r="K347" s="25" t="s">
        <v>285</v>
      </c>
      <c r="L347" s="25" t="s">
        <v>210</v>
      </c>
      <c r="M347" s="27" t="s">
        <v>147</v>
      </c>
      <c r="N347" s="28" t="s">
        <v>285</v>
      </c>
    </row>
    <row r="348" spans="1:14" ht="15" customHeight="1" x14ac:dyDescent="0.3">
      <c r="A348" s="21" t="s">
        <v>222</v>
      </c>
      <c r="B348" s="21" t="s">
        <v>260</v>
      </c>
      <c r="C348" s="21" t="s">
        <v>261</v>
      </c>
      <c r="D348" s="21" t="s">
        <v>208</v>
      </c>
      <c r="E348" s="21" t="s">
        <v>200</v>
      </c>
      <c r="F348" s="22">
        <v>1046326</v>
      </c>
      <c r="G348" s="21" t="s">
        <v>142</v>
      </c>
      <c r="H348" s="23">
        <v>1000</v>
      </c>
      <c r="I348" s="21" t="s">
        <v>201</v>
      </c>
      <c r="J348" s="21" t="s">
        <v>284</v>
      </c>
      <c r="K348" s="21" t="s">
        <v>285</v>
      </c>
      <c r="L348" s="21" t="s">
        <v>210</v>
      </c>
      <c r="M348" s="23" t="s">
        <v>147</v>
      </c>
      <c r="N348" s="24" t="s">
        <v>285</v>
      </c>
    </row>
    <row r="349" spans="1:14" ht="15" customHeight="1" x14ac:dyDescent="0.3">
      <c r="A349" s="25" t="s">
        <v>222</v>
      </c>
      <c r="B349" s="25" t="s">
        <v>262</v>
      </c>
      <c r="C349" s="25" t="s">
        <v>263</v>
      </c>
      <c r="D349" s="25" t="s">
        <v>208</v>
      </c>
      <c r="E349" s="25" t="s">
        <v>200</v>
      </c>
      <c r="F349" s="26">
        <v>364836</v>
      </c>
      <c r="G349" s="25" t="s">
        <v>142</v>
      </c>
      <c r="H349" s="27">
        <v>1000</v>
      </c>
      <c r="I349" s="25" t="s">
        <v>201</v>
      </c>
      <c r="J349" s="25" t="s">
        <v>284</v>
      </c>
      <c r="K349" s="25" t="s">
        <v>285</v>
      </c>
      <c r="L349" s="25" t="s">
        <v>210</v>
      </c>
      <c r="M349" s="27" t="s">
        <v>147</v>
      </c>
      <c r="N349" s="28" t="s">
        <v>285</v>
      </c>
    </row>
    <row r="350" spans="1:14" ht="15" customHeight="1" x14ac:dyDescent="0.3">
      <c r="A350" s="21" t="s">
        <v>222</v>
      </c>
      <c r="B350" s="21" t="s">
        <v>286</v>
      </c>
      <c r="C350" s="21" t="s">
        <v>287</v>
      </c>
      <c r="D350" s="21" t="s">
        <v>208</v>
      </c>
      <c r="E350" s="21" t="s">
        <v>200</v>
      </c>
      <c r="F350" s="22">
        <v>-1425</v>
      </c>
      <c r="G350" s="21" t="s">
        <v>142</v>
      </c>
      <c r="H350" s="23">
        <v>1000</v>
      </c>
      <c r="I350" s="21" t="s">
        <v>201</v>
      </c>
      <c r="J350" s="21" t="s">
        <v>284</v>
      </c>
      <c r="K350" s="21" t="s">
        <v>285</v>
      </c>
      <c r="L350" s="21" t="s">
        <v>210</v>
      </c>
      <c r="M350" s="23" t="s">
        <v>147</v>
      </c>
      <c r="N350" s="24" t="s">
        <v>285</v>
      </c>
    </row>
    <row r="351" spans="1:14" ht="15" customHeight="1" x14ac:dyDescent="0.3">
      <c r="A351" s="25" t="s">
        <v>222</v>
      </c>
      <c r="B351" s="25" t="s">
        <v>264</v>
      </c>
      <c r="C351" s="25" t="s">
        <v>265</v>
      </c>
      <c r="D351" s="25" t="s">
        <v>208</v>
      </c>
      <c r="E351" s="25" t="s">
        <v>200</v>
      </c>
      <c r="F351" s="26">
        <v>1409742</v>
      </c>
      <c r="G351" s="25" t="s">
        <v>142</v>
      </c>
      <c r="H351" s="27">
        <v>1000</v>
      </c>
      <c r="I351" s="25" t="s">
        <v>201</v>
      </c>
      <c r="J351" s="25" t="s">
        <v>284</v>
      </c>
      <c r="K351" s="25" t="s">
        <v>285</v>
      </c>
      <c r="L351" s="25" t="s">
        <v>210</v>
      </c>
      <c r="M351" s="27" t="s">
        <v>147</v>
      </c>
      <c r="N351" s="28" t="s">
        <v>285</v>
      </c>
    </row>
    <row r="352" spans="1:14" ht="15" customHeight="1" x14ac:dyDescent="0.3">
      <c r="A352" s="21" t="s">
        <v>222</v>
      </c>
      <c r="B352" s="21" t="s">
        <v>266</v>
      </c>
      <c r="C352" s="21" t="s">
        <v>267</v>
      </c>
      <c r="D352" s="21" t="s">
        <v>208</v>
      </c>
      <c r="E352" s="21" t="s">
        <v>200</v>
      </c>
      <c r="F352" s="22">
        <v>2073953</v>
      </c>
      <c r="G352" s="21" t="s">
        <v>142</v>
      </c>
      <c r="H352" s="23">
        <v>1000</v>
      </c>
      <c r="I352" s="21" t="s">
        <v>201</v>
      </c>
      <c r="J352" s="21" t="s">
        <v>284</v>
      </c>
      <c r="K352" s="21" t="s">
        <v>285</v>
      </c>
      <c r="L352" s="21" t="s">
        <v>210</v>
      </c>
      <c r="M352" s="23" t="s">
        <v>147</v>
      </c>
      <c r="N352" s="24" t="s">
        <v>285</v>
      </c>
    </row>
    <row r="353" spans="1:14" ht="15" customHeight="1" x14ac:dyDescent="0.3">
      <c r="A353" s="25" t="s">
        <v>222</v>
      </c>
      <c r="B353" s="25" t="s">
        <v>288</v>
      </c>
      <c r="C353" s="25" t="s">
        <v>289</v>
      </c>
      <c r="D353" s="25" t="s">
        <v>140</v>
      </c>
      <c r="E353" s="25" t="s">
        <v>141</v>
      </c>
      <c r="F353" s="26">
        <v>10258</v>
      </c>
      <c r="G353" s="25" t="s">
        <v>142</v>
      </c>
      <c r="H353" s="27">
        <v>1000</v>
      </c>
      <c r="I353" s="25" t="s">
        <v>143</v>
      </c>
      <c r="J353" s="25" t="s">
        <v>144</v>
      </c>
      <c r="K353" s="25" t="s">
        <v>290</v>
      </c>
      <c r="L353" s="25" t="s">
        <v>217</v>
      </c>
      <c r="M353" s="27" t="s">
        <v>147</v>
      </c>
      <c r="N353" s="28" t="s">
        <v>290</v>
      </c>
    </row>
    <row r="354" spans="1:14" ht="15" customHeight="1" x14ac:dyDescent="0.3">
      <c r="A354" s="21" t="s">
        <v>222</v>
      </c>
      <c r="B354" s="21" t="s">
        <v>291</v>
      </c>
      <c r="C354" s="21" t="s">
        <v>292</v>
      </c>
      <c r="D354" s="21" t="s">
        <v>140</v>
      </c>
      <c r="E354" s="21" t="s">
        <v>141</v>
      </c>
      <c r="F354" s="22">
        <v>3053</v>
      </c>
      <c r="G354" s="21" t="s">
        <v>142</v>
      </c>
      <c r="H354" s="23">
        <v>1000</v>
      </c>
      <c r="I354" s="21" t="s">
        <v>143</v>
      </c>
      <c r="J354" s="21" t="s">
        <v>144</v>
      </c>
      <c r="K354" s="21" t="s">
        <v>290</v>
      </c>
      <c r="L354" s="21" t="s">
        <v>217</v>
      </c>
      <c r="M354" s="23" t="s">
        <v>147</v>
      </c>
      <c r="N354" s="24" t="s">
        <v>290</v>
      </c>
    </row>
    <row r="355" spans="1:14" ht="15" customHeight="1" x14ac:dyDescent="0.3">
      <c r="A355" s="25" t="s">
        <v>222</v>
      </c>
      <c r="B355" s="25" t="s">
        <v>293</v>
      </c>
      <c r="C355" s="25" t="s">
        <v>294</v>
      </c>
      <c r="D355" s="25" t="s">
        <v>140</v>
      </c>
      <c r="E355" s="25" t="s">
        <v>141</v>
      </c>
      <c r="F355" s="26">
        <v>13311</v>
      </c>
      <c r="G355" s="25" t="s">
        <v>142</v>
      </c>
      <c r="H355" s="27">
        <v>1000</v>
      </c>
      <c r="I355" s="25" t="s">
        <v>143</v>
      </c>
      <c r="J355" s="25" t="s">
        <v>144</v>
      </c>
      <c r="K355" s="25" t="s">
        <v>290</v>
      </c>
      <c r="L355" s="25" t="s">
        <v>217</v>
      </c>
      <c r="M355" s="27" t="s">
        <v>147</v>
      </c>
      <c r="N355" s="28" t="s">
        <v>290</v>
      </c>
    </row>
    <row r="356" spans="1:14" ht="15" customHeight="1" x14ac:dyDescent="0.3">
      <c r="A356" s="21" t="s">
        <v>222</v>
      </c>
      <c r="B356" s="21" t="s">
        <v>295</v>
      </c>
      <c r="C356" s="21" t="s">
        <v>296</v>
      </c>
      <c r="D356" s="21" t="s">
        <v>140</v>
      </c>
      <c r="E356" s="21" t="s">
        <v>141</v>
      </c>
      <c r="F356" s="22">
        <v>-5100</v>
      </c>
      <c r="G356" s="21" t="s">
        <v>142</v>
      </c>
      <c r="H356" s="23">
        <v>1000</v>
      </c>
      <c r="I356" s="21" t="s">
        <v>143</v>
      </c>
      <c r="J356" s="21" t="s">
        <v>144</v>
      </c>
      <c r="K356" s="21" t="s">
        <v>290</v>
      </c>
      <c r="L356" s="21" t="s">
        <v>217</v>
      </c>
      <c r="M356" s="23" t="s">
        <v>147</v>
      </c>
      <c r="N356" s="24" t="s">
        <v>290</v>
      </c>
    </row>
    <row r="357" spans="1:14" ht="15" customHeight="1" x14ac:dyDescent="0.3">
      <c r="A357" s="25" t="s">
        <v>222</v>
      </c>
      <c r="B357" s="25" t="s">
        <v>297</v>
      </c>
      <c r="C357" s="25" t="s">
        <v>298</v>
      </c>
      <c r="D357" s="25" t="s">
        <v>140</v>
      </c>
      <c r="E357" s="25" t="s">
        <v>141</v>
      </c>
      <c r="F357" s="26">
        <v>11144</v>
      </c>
      <c r="G357" s="25" t="s">
        <v>142</v>
      </c>
      <c r="H357" s="27">
        <v>1000</v>
      </c>
      <c r="I357" s="25" t="s">
        <v>143</v>
      </c>
      <c r="J357" s="25" t="s">
        <v>144</v>
      </c>
      <c r="K357" s="25" t="s">
        <v>216</v>
      </c>
      <c r="L357" s="25" t="s">
        <v>217</v>
      </c>
      <c r="M357" s="27" t="s">
        <v>147</v>
      </c>
      <c r="N357" s="28" t="s">
        <v>216</v>
      </c>
    </row>
    <row r="358" spans="1:14" ht="15" customHeight="1" x14ac:dyDescent="0.3">
      <c r="A358" s="21" t="s">
        <v>222</v>
      </c>
      <c r="B358" s="21" t="s">
        <v>299</v>
      </c>
      <c r="C358" s="21" t="s">
        <v>300</v>
      </c>
      <c r="D358" s="21" t="s">
        <v>140</v>
      </c>
      <c r="E358" s="21" t="s">
        <v>141</v>
      </c>
      <c r="F358" s="22">
        <v>11144</v>
      </c>
      <c r="G358" s="21" t="s">
        <v>142</v>
      </c>
      <c r="H358" s="23">
        <v>1000</v>
      </c>
      <c r="I358" s="21" t="s">
        <v>143</v>
      </c>
      <c r="J358" s="21" t="s">
        <v>144</v>
      </c>
      <c r="K358" s="21" t="s">
        <v>216</v>
      </c>
      <c r="L358" s="21" t="s">
        <v>217</v>
      </c>
      <c r="M358" s="23" t="s">
        <v>147</v>
      </c>
      <c r="N358" s="24" t="s">
        <v>216</v>
      </c>
    </row>
    <row r="359" spans="1:14" ht="15" customHeight="1" x14ac:dyDescent="0.3">
      <c r="A359" s="25" t="s">
        <v>222</v>
      </c>
      <c r="B359" s="25" t="s">
        <v>301</v>
      </c>
      <c r="C359" s="25" t="s">
        <v>302</v>
      </c>
      <c r="D359" s="25" t="s">
        <v>140</v>
      </c>
      <c r="E359" s="25" t="s">
        <v>141</v>
      </c>
      <c r="F359" s="26">
        <v>-6578</v>
      </c>
      <c r="G359" s="25" t="s">
        <v>142</v>
      </c>
      <c r="H359" s="27">
        <v>1000</v>
      </c>
      <c r="I359" s="25" t="s">
        <v>143</v>
      </c>
      <c r="J359" s="25" t="s">
        <v>144</v>
      </c>
      <c r="K359" s="25" t="s">
        <v>216</v>
      </c>
      <c r="L359" s="25" t="s">
        <v>217</v>
      </c>
      <c r="M359" s="27" t="s">
        <v>147</v>
      </c>
      <c r="N359" s="28" t="s">
        <v>216</v>
      </c>
    </row>
    <row r="360" spans="1:14" ht="15" customHeight="1" x14ac:dyDescent="0.3">
      <c r="A360" s="21" t="s">
        <v>222</v>
      </c>
      <c r="B360" s="21" t="s">
        <v>288</v>
      </c>
      <c r="C360" s="21" t="s">
        <v>289</v>
      </c>
      <c r="D360" s="21" t="s">
        <v>189</v>
      </c>
      <c r="E360" s="21" t="s">
        <v>141</v>
      </c>
      <c r="F360" s="22">
        <v>15983</v>
      </c>
      <c r="G360" s="21" t="s">
        <v>142</v>
      </c>
      <c r="H360" s="23">
        <v>1000</v>
      </c>
      <c r="I360" s="21" t="s">
        <v>143</v>
      </c>
      <c r="J360" s="21" t="s">
        <v>190</v>
      </c>
      <c r="K360" s="21" t="s">
        <v>290</v>
      </c>
      <c r="L360" s="21" t="s">
        <v>146</v>
      </c>
      <c r="M360" s="23" t="s">
        <v>147</v>
      </c>
      <c r="N360" s="24" t="s">
        <v>290</v>
      </c>
    </row>
    <row r="361" spans="1:14" ht="15" customHeight="1" x14ac:dyDescent="0.3">
      <c r="A361" s="25" t="s">
        <v>222</v>
      </c>
      <c r="B361" s="25" t="s">
        <v>291</v>
      </c>
      <c r="C361" s="25" t="s">
        <v>292</v>
      </c>
      <c r="D361" s="25" t="s">
        <v>189</v>
      </c>
      <c r="E361" s="25" t="s">
        <v>141</v>
      </c>
      <c r="F361" s="26">
        <v>5204</v>
      </c>
      <c r="G361" s="25" t="s">
        <v>142</v>
      </c>
      <c r="H361" s="27">
        <v>1000</v>
      </c>
      <c r="I361" s="25" t="s">
        <v>143</v>
      </c>
      <c r="J361" s="25" t="s">
        <v>190</v>
      </c>
      <c r="K361" s="25" t="s">
        <v>290</v>
      </c>
      <c r="L361" s="25" t="s">
        <v>146</v>
      </c>
      <c r="M361" s="27" t="s">
        <v>147</v>
      </c>
      <c r="N361" s="28" t="s">
        <v>290</v>
      </c>
    </row>
    <row r="362" spans="1:14" ht="15" customHeight="1" x14ac:dyDescent="0.3">
      <c r="A362" s="21" t="s">
        <v>222</v>
      </c>
      <c r="B362" s="21" t="s">
        <v>293</v>
      </c>
      <c r="C362" s="21" t="s">
        <v>294</v>
      </c>
      <c r="D362" s="21" t="s">
        <v>189</v>
      </c>
      <c r="E362" s="21" t="s">
        <v>141</v>
      </c>
      <c r="F362" s="22">
        <v>21187</v>
      </c>
      <c r="G362" s="21" t="s">
        <v>142</v>
      </c>
      <c r="H362" s="23">
        <v>1000</v>
      </c>
      <c r="I362" s="21" t="s">
        <v>143</v>
      </c>
      <c r="J362" s="21" t="s">
        <v>190</v>
      </c>
      <c r="K362" s="21" t="s">
        <v>290</v>
      </c>
      <c r="L362" s="21" t="s">
        <v>146</v>
      </c>
      <c r="M362" s="23" t="s">
        <v>147</v>
      </c>
      <c r="N362" s="24" t="s">
        <v>290</v>
      </c>
    </row>
    <row r="363" spans="1:14" ht="15" customHeight="1" x14ac:dyDescent="0.3">
      <c r="A363" s="25" t="s">
        <v>222</v>
      </c>
      <c r="B363" s="25" t="s">
        <v>295</v>
      </c>
      <c r="C363" s="25" t="s">
        <v>296</v>
      </c>
      <c r="D363" s="25" t="s">
        <v>189</v>
      </c>
      <c r="E363" s="25" t="s">
        <v>141</v>
      </c>
      <c r="F363" s="26">
        <v>-8218</v>
      </c>
      <c r="G363" s="25" t="s">
        <v>142</v>
      </c>
      <c r="H363" s="27">
        <v>1000</v>
      </c>
      <c r="I363" s="25" t="s">
        <v>143</v>
      </c>
      <c r="J363" s="25" t="s">
        <v>190</v>
      </c>
      <c r="K363" s="25" t="s">
        <v>290</v>
      </c>
      <c r="L363" s="25" t="s">
        <v>146</v>
      </c>
      <c r="M363" s="27" t="s">
        <v>147</v>
      </c>
      <c r="N363" s="28" t="s">
        <v>290</v>
      </c>
    </row>
    <row r="364" spans="1:14" ht="15" customHeight="1" x14ac:dyDescent="0.3">
      <c r="A364" s="21" t="s">
        <v>222</v>
      </c>
      <c r="B364" s="21" t="s">
        <v>297</v>
      </c>
      <c r="C364" s="21" t="s">
        <v>298</v>
      </c>
      <c r="D364" s="21" t="s">
        <v>189</v>
      </c>
      <c r="E364" s="21" t="s">
        <v>141</v>
      </c>
      <c r="F364" s="22">
        <v>16809</v>
      </c>
      <c r="G364" s="21" t="s">
        <v>142</v>
      </c>
      <c r="H364" s="23">
        <v>1000</v>
      </c>
      <c r="I364" s="21" t="s">
        <v>143</v>
      </c>
      <c r="J364" s="21" t="s">
        <v>190</v>
      </c>
      <c r="K364" s="21" t="s">
        <v>218</v>
      </c>
      <c r="L364" s="21" t="s">
        <v>146</v>
      </c>
      <c r="M364" s="23" t="s">
        <v>147</v>
      </c>
      <c r="N364" s="24" t="s">
        <v>218</v>
      </c>
    </row>
    <row r="365" spans="1:14" ht="15" customHeight="1" x14ac:dyDescent="0.3">
      <c r="A365" s="25" t="s">
        <v>222</v>
      </c>
      <c r="B365" s="25" t="s">
        <v>303</v>
      </c>
      <c r="C365" s="25" t="s">
        <v>304</v>
      </c>
      <c r="D365" s="25" t="s">
        <v>189</v>
      </c>
      <c r="E365" s="25" t="s">
        <v>141</v>
      </c>
      <c r="F365" s="26">
        <v>18</v>
      </c>
      <c r="G365" s="25" t="s">
        <v>142</v>
      </c>
      <c r="H365" s="27">
        <v>1000</v>
      </c>
      <c r="I365" s="25" t="s">
        <v>143</v>
      </c>
      <c r="J365" s="25" t="s">
        <v>190</v>
      </c>
      <c r="K365" s="25" t="s">
        <v>218</v>
      </c>
      <c r="L365" s="25" t="s">
        <v>146</v>
      </c>
      <c r="M365" s="27" t="s">
        <v>147</v>
      </c>
      <c r="N365" s="28" t="s">
        <v>218</v>
      </c>
    </row>
    <row r="366" spans="1:14" ht="15" customHeight="1" x14ac:dyDescent="0.3">
      <c r="A366" s="21" t="s">
        <v>222</v>
      </c>
      <c r="B366" s="21" t="s">
        <v>299</v>
      </c>
      <c r="C366" s="21" t="s">
        <v>305</v>
      </c>
      <c r="D366" s="21" t="s">
        <v>189</v>
      </c>
      <c r="E366" s="21" t="s">
        <v>141</v>
      </c>
      <c r="F366" s="22">
        <v>16827</v>
      </c>
      <c r="G366" s="21" t="s">
        <v>142</v>
      </c>
      <c r="H366" s="23">
        <v>1000</v>
      </c>
      <c r="I366" s="21" t="s">
        <v>143</v>
      </c>
      <c r="J366" s="21" t="s">
        <v>190</v>
      </c>
      <c r="K366" s="21" t="s">
        <v>218</v>
      </c>
      <c r="L366" s="21" t="s">
        <v>146</v>
      </c>
      <c r="M366" s="23" t="s">
        <v>147</v>
      </c>
      <c r="N366" s="24" t="s">
        <v>218</v>
      </c>
    </row>
    <row r="367" spans="1:14" ht="15" customHeight="1" x14ac:dyDescent="0.3">
      <c r="A367" s="25" t="s">
        <v>222</v>
      </c>
      <c r="B367" s="25" t="s">
        <v>301</v>
      </c>
      <c r="C367" s="25" t="s">
        <v>302</v>
      </c>
      <c r="D367" s="25" t="s">
        <v>189</v>
      </c>
      <c r="E367" s="25" t="s">
        <v>141</v>
      </c>
      <c r="F367" s="26">
        <v>-8330</v>
      </c>
      <c r="G367" s="25" t="s">
        <v>142</v>
      </c>
      <c r="H367" s="27">
        <v>1000</v>
      </c>
      <c r="I367" s="25" t="s">
        <v>143</v>
      </c>
      <c r="J367" s="25" t="s">
        <v>190</v>
      </c>
      <c r="K367" s="25" t="s">
        <v>218</v>
      </c>
      <c r="L367" s="25" t="s">
        <v>146</v>
      </c>
      <c r="M367" s="27" t="s">
        <v>147</v>
      </c>
      <c r="N367" s="28" t="s">
        <v>218</v>
      </c>
    </row>
    <row r="368" spans="1:14" ht="15" customHeight="1" x14ac:dyDescent="0.3">
      <c r="A368" s="21" t="s">
        <v>222</v>
      </c>
      <c r="B368" s="21" t="s">
        <v>288</v>
      </c>
      <c r="C368" s="21" t="s">
        <v>289</v>
      </c>
      <c r="D368" s="21" t="s">
        <v>191</v>
      </c>
      <c r="E368" s="21" t="s">
        <v>141</v>
      </c>
      <c r="F368" s="22">
        <v>18191</v>
      </c>
      <c r="G368" s="21" t="s">
        <v>142</v>
      </c>
      <c r="H368" s="23">
        <v>1000</v>
      </c>
      <c r="I368" s="21" t="s">
        <v>143</v>
      </c>
      <c r="J368" s="21" t="s">
        <v>192</v>
      </c>
      <c r="K368" s="21" t="s">
        <v>290</v>
      </c>
      <c r="L368" s="21" t="s">
        <v>146</v>
      </c>
      <c r="M368" s="23" t="s">
        <v>147</v>
      </c>
      <c r="N368" s="24" t="s">
        <v>290</v>
      </c>
    </row>
    <row r="369" spans="1:14" ht="15" customHeight="1" x14ac:dyDescent="0.3">
      <c r="A369" s="25" t="s">
        <v>222</v>
      </c>
      <c r="B369" s="25" t="s">
        <v>291</v>
      </c>
      <c r="C369" s="25" t="s">
        <v>292</v>
      </c>
      <c r="D369" s="25" t="s">
        <v>191</v>
      </c>
      <c r="E369" s="25" t="s">
        <v>141</v>
      </c>
      <c r="F369" s="26">
        <v>5869</v>
      </c>
      <c r="G369" s="25" t="s">
        <v>142</v>
      </c>
      <c r="H369" s="27">
        <v>1000</v>
      </c>
      <c r="I369" s="25" t="s">
        <v>143</v>
      </c>
      <c r="J369" s="25" t="s">
        <v>192</v>
      </c>
      <c r="K369" s="25" t="s">
        <v>290</v>
      </c>
      <c r="L369" s="25" t="s">
        <v>146</v>
      </c>
      <c r="M369" s="27" t="s">
        <v>147</v>
      </c>
      <c r="N369" s="28" t="s">
        <v>290</v>
      </c>
    </row>
    <row r="370" spans="1:14" ht="15" customHeight="1" x14ac:dyDescent="0.3">
      <c r="A370" s="21" t="s">
        <v>222</v>
      </c>
      <c r="B370" s="21" t="s">
        <v>293</v>
      </c>
      <c r="C370" s="21" t="s">
        <v>294</v>
      </c>
      <c r="D370" s="21" t="s">
        <v>191</v>
      </c>
      <c r="E370" s="21" t="s">
        <v>141</v>
      </c>
      <c r="F370" s="22">
        <v>24060</v>
      </c>
      <c r="G370" s="21" t="s">
        <v>142</v>
      </c>
      <c r="H370" s="23">
        <v>1000</v>
      </c>
      <c r="I370" s="21" t="s">
        <v>143</v>
      </c>
      <c r="J370" s="21" t="s">
        <v>192</v>
      </c>
      <c r="K370" s="21" t="s">
        <v>290</v>
      </c>
      <c r="L370" s="21" t="s">
        <v>146</v>
      </c>
      <c r="M370" s="23" t="s">
        <v>147</v>
      </c>
      <c r="N370" s="24" t="s">
        <v>290</v>
      </c>
    </row>
    <row r="371" spans="1:14" ht="15" customHeight="1" x14ac:dyDescent="0.3">
      <c r="A371" s="25" t="s">
        <v>222</v>
      </c>
      <c r="B371" s="25" t="s">
        <v>295</v>
      </c>
      <c r="C371" s="25" t="s">
        <v>296</v>
      </c>
      <c r="D371" s="25" t="s">
        <v>191</v>
      </c>
      <c r="E371" s="25" t="s">
        <v>141</v>
      </c>
      <c r="F371" s="26">
        <v>-12268</v>
      </c>
      <c r="G371" s="25" t="s">
        <v>142</v>
      </c>
      <c r="H371" s="27">
        <v>1000</v>
      </c>
      <c r="I371" s="25" t="s">
        <v>143</v>
      </c>
      <c r="J371" s="25" t="s">
        <v>192</v>
      </c>
      <c r="K371" s="25" t="s">
        <v>290</v>
      </c>
      <c r="L371" s="25" t="s">
        <v>146</v>
      </c>
      <c r="M371" s="27" t="s">
        <v>147</v>
      </c>
      <c r="N371" s="28" t="s">
        <v>290</v>
      </c>
    </row>
    <row r="372" spans="1:14" ht="15" customHeight="1" x14ac:dyDescent="0.3">
      <c r="A372" s="21" t="s">
        <v>222</v>
      </c>
      <c r="B372" s="21" t="s">
        <v>297</v>
      </c>
      <c r="C372" s="21" t="s">
        <v>298</v>
      </c>
      <c r="D372" s="21" t="s">
        <v>191</v>
      </c>
      <c r="E372" s="21" t="s">
        <v>141</v>
      </c>
      <c r="F372" s="22">
        <v>26895</v>
      </c>
      <c r="G372" s="21" t="s">
        <v>142</v>
      </c>
      <c r="H372" s="23">
        <v>1000</v>
      </c>
      <c r="I372" s="21" t="s">
        <v>143</v>
      </c>
      <c r="J372" s="21" t="s">
        <v>192</v>
      </c>
      <c r="K372" s="21" t="s">
        <v>218</v>
      </c>
      <c r="L372" s="21" t="s">
        <v>146</v>
      </c>
      <c r="M372" s="23" t="s">
        <v>147</v>
      </c>
      <c r="N372" s="24" t="s">
        <v>218</v>
      </c>
    </row>
    <row r="373" spans="1:14" ht="15" customHeight="1" x14ac:dyDescent="0.3">
      <c r="A373" s="25" t="s">
        <v>222</v>
      </c>
      <c r="B373" s="25" t="s">
        <v>303</v>
      </c>
      <c r="C373" s="25" t="s">
        <v>304</v>
      </c>
      <c r="D373" s="25" t="s">
        <v>191</v>
      </c>
      <c r="E373" s="25" t="s">
        <v>141</v>
      </c>
      <c r="F373" s="26">
        <v>117</v>
      </c>
      <c r="G373" s="25" t="s">
        <v>142</v>
      </c>
      <c r="H373" s="27">
        <v>1000</v>
      </c>
      <c r="I373" s="25" t="s">
        <v>143</v>
      </c>
      <c r="J373" s="25" t="s">
        <v>192</v>
      </c>
      <c r="K373" s="25" t="s">
        <v>218</v>
      </c>
      <c r="L373" s="25" t="s">
        <v>146</v>
      </c>
      <c r="M373" s="27" t="s">
        <v>147</v>
      </c>
      <c r="N373" s="28" t="s">
        <v>218</v>
      </c>
    </row>
    <row r="374" spans="1:14" ht="15" customHeight="1" x14ac:dyDescent="0.3">
      <c r="A374" s="21" t="s">
        <v>222</v>
      </c>
      <c r="B374" s="21" t="s">
        <v>299</v>
      </c>
      <c r="C374" s="21" t="s">
        <v>305</v>
      </c>
      <c r="D374" s="21" t="s">
        <v>191</v>
      </c>
      <c r="E374" s="21" t="s">
        <v>141</v>
      </c>
      <c r="F374" s="22">
        <v>27012</v>
      </c>
      <c r="G374" s="21" t="s">
        <v>142</v>
      </c>
      <c r="H374" s="23">
        <v>1000</v>
      </c>
      <c r="I374" s="21" t="s">
        <v>143</v>
      </c>
      <c r="J374" s="21" t="s">
        <v>192</v>
      </c>
      <c r="K374" s="21" t="s">
        <v>218</v>
      </c>
      <c r="L374" s="21" t="s">
        <v>146</v>
      </c>
      <c r="M374" s="23" t="s">
        <v>147</v>
      </c>
      <c r="N374" s="24" t="s">
        <v>218</v>
      </c>
    </row>
    <row r="375" spans="1:14" ht="15" customHeight="1" x14ac:dyDescent="0.3">
      <c r="A375" s="25" t="s">
        <v>222</v>
      </c>
      <c r="B375" s="25" t="s">
        <v>301</v>
      </c>
      <c r="C375" s="25" t="s">
        <v>302</v>
      </c>
      <c r="D375" s="25" t="s">
        <v>191</v>
      </c>
      <c r="E375" s="25" t="s">
        <v>141</v>
      </c>
      <c r="F375" s="26">
        <v>-11017</v>
      </c>
      <c r="G375" s="25" t="s">
        <v>142</v>
      </c>
      <c r="H375" s="27">
        <v>1000</v>
      </c>
      <c r="I375" s="25" t="s">
        <v>143</v>
      </c>
      <c r="J375" s="25" t="s">
        <v>192</v>
      </c>
      <c r="K375" s="25" t="s">
        <v>218</v>
      </c>
      <c r="L375" s="25" t="s">
        <v>146</v>
      </c>
      <c r="M375" s="27" t="s">
        <v>147</v>
      </c>
      <c r="N375" s="28" t="s">
        <v>218</v>
      </c>
    </row>
    <row r="376" spans="1:14" ht="15" customHeight="1" x14ac:dyDescent="0.3">
      <c r="A376" s="21" t="s">
        <v>222</v>
      </c>
      <c r="B376" s="21" t="s">
        <v>288</v>
      </c>
      <c r="C376" s="21" t="s">
        <v>289</v>
      </c>
      <c r="D376" s="21" t="s">
        <v>195</v>
      </c>
      <c r="E376" s="21" t="s">
        <v>141</v>
      </c>
      <c r="F376" s="22">
        <v>26938</v>
      </c>
      <c r="G376" s="21" t="s">
        <v>142</v>
      </c>
      <c r="H376" s="23">
        <v>1000</v>
      </c>
      <c r="I376" s="21" t="s">
        <v>143</v>
      </c>
      <c r="J376" s="21" t="s">
        <v>196</v>
      </c>
      <c r="K376" s="21" t="s">
        <v>290</v>
      </c>
      <c r="L376" s="21" t="s">
        <v>193</v>
      </c>
      <c r="M376" s="23" t="s">
        <v>147</v>
      </c>
      <c r="N376" s="24" t="s">
        <v>290</v>
      </c>
    </row>
    <row r="377" spans="1:14" ht="15" customHeight="1" x14ac:dyDescent="0.3">
      <c r="A377" s="25" t="s">
        <v>222</v>
      </c>
      <c r="B377" s="25" t="s">
        <v>291</v>
      </c>
      <c r="C377" s="25" t="s">
        <v>292</v>
      </c>
      <c r="D377" s="25" t="s">
        <v>195</v>
      </c>
      <c r="E377" s="25" t="s">
        <v>141</v>
      </c>
      <c r="F377" s="26">
        <v>8415</v>
      </c>
      <c r="G377" s="25" t="s">
        <v>142</v>
      </c>
      <c r="H377" s="27">
        <v>1000</v>
      </c>
      <c r="I377" s="25" t="s">
        <v>143</v>
      </c>
      <c r="J377" s="25" t="s">
        <v>196</v>
      </c>
      <c r="K377" s="25" t="s">
        <v>290</v>
      </c>
      <c r="L377" s="25" t="s">
        <v>193</v>
      </c>
      <c r="M377" s="27" t="s">
        <v>147</v>
      </c>
      <c r="N377" s="28" t="s">
        <v>290</v>
      </c>
    </row>
    <row r="378" spans="1:14" ht="15" customHeight="1" x14ac:dyDescent="0.3">
      <c r="A378" s="21" t="s">
        <v>222</v>
      </c>
      <c r="B378" s="21" t="s">
        <v>293</v>
      </c>
      <c r="C378" s="21" t="s">
        <v>294</v>
      </c>
      <c r="D378" s="21" t="s">
        <v>195</v>
      </c>
      <c r="E378" s="21" t="s">
        <v>141</v>
      </c>
      <c r="F378" s="22">
        <v>35353</v>
      </c>
      <c r="G378" s="21" t="s">
        <v>142</v>
      </c>
      <c r="H378" s="23">
        <v>1000</v>
      </c>
      <c r="I378" s="21" t="s">
        <v>143</v>
      </c>
      <c r="J378" s="21" t="s">
        <v>196</v>
      </c>
      <c r="K378" s="21" t="s">
        <v>290</v>
      </c>
      <c r="L378" s="21" t="s">
        <v>193</v>
      </c>
      <c r="M378" s="23" t="s">
        <v>147</v>
      </c>
      <c r="N378" s="24" t="s">
        <v>290</v>
      </c>
    </row>
    <row r="379" spans="1:14" ht="15" customHeight="1" x14ac:dyDescent="0.3">
      <c r="A379" s="25" t="s">
        <v>222</v>
      </c>
      <c r="B379" s="25" t="s">
        <v>295</v>
      </c>
      <c r="C379" s="25" t="s">
        <v>296</v>
      </c>
      <c r="D379" s="25" t="s">
        <v>195</v>
      </c>
      <c r="E379" s="25" t="s">
        <v>141</v>
      </c>
      <c r="F379" s="26">
        <v>-16410</v>
      </c>
      <c r="G379" s="25" t="s">
        <v>142</v>
      </c>
      <c r="H379" s="27">
        <v>1000</v>
      </c>
      <c r="I379" s="25" t="s">
        <v>143</v>
      </c>
      <c r="J379" s="25" t="s">
        <v>196</v>
      </c>
      <c r="K379" s="25" t="s">
        <v>290</v>
      </c>
      <c r="L379" s="25" t="s">
        <v>193</v>
      </c>
      <c r="M379" s="27" t="s">
        <v>147</v>
      </c>
      <c r="N379" s="28" t="s">
        <v>290</v>
      </c>
    </row>
    <row r="380" spans="1:14" ht="15" customHeight="1" x14ac:dyDescent="0.3">
      <c r="A380" s="21" t="s">
        <v>222</v>
      </c>
      <c r="B380" s="21" t="s">
        <v>297</v>
      </c>
      <c r="C380" s="21" t="s">
        <v>298</v>
      </c>
      <c r="D380" s="21" t="s">
        <v>195</v>
      </c>
      <c r="E380" s="21" t="s">
        <v>141</v>
      </c>
      <c r="F380" s="22">
        <v>35681</v>
      </c>
      <c r="G380" s="21" t="s">
        <v>142</v>
      </c>
      <c r="H380" s="23">
        <v>1000</v>
      </c>
      <c r="I380" s="21" t="s">
        <v>143</v>
      </c>
      <c r="J380" s="21" t="s">
        <v>196</v>
      </c>
      <c r="K380" s="21" t="s">
        <v>218</v>
      </c>
      <c r="L380" s="21" t="s">
        <v>193</v>
      </c>
      <c r="M380" s="23" t="s">
        <v>147</v>
      </c>
      <c r="N380" s="24" t="s">
        <v>218</v>
      </c>
    </row>
    <row r="381" spans="1:14" ht="15" customHeight="1" x14ac:dyDescent="0.3">
      <c r="A381" s="25" t="s">
        <v>222</v>
      </c>
      <c r="B381" s="25" t="s">
        <v>306</v>
      </c>
      <c r="C381" s="25" t="s">
        <v>307</v>
      </c>
      <c r="D381" s="25" t="s">
        <v>195</v>
      </c>
      <c r="E381" s="25" t="s">
        <v>141</v>
      </c>
      <c r="F381" s="26">
        <v>1007</v>
      </c>
      <c r="G381" s="25" t="s">
        <v>142</v>
      </c>
      <c r="H381" s="27">
        <v>1000</v>
      </c>
      <c r="I381" s="25" t="s">
        <v>143</v>
      </c>
      <c r="J381" s="25" t="s">
        <v>196</v>
      </c>
      <c r="K381" s="25" t="s">
        <v>218</v>
      </c>
      <c r="L381" s="25" t="s">
        <v>193</v>
      </c>
      <c r="M381" s="27" t="s">
        <v>147</v>
      </c>
      <c r="N381" s="28" t="s">
        <v>218</v>
      </c>
    </row>
    <row r="382" spans="1:14" ht="15" customHeight="1" x14ac:dyDescent="0.3">
      <c r="A382" s="21" t="s">
        <v>222</v>
      </c>
      <c r="B382" s="21" t="s">
        <v>308</v>
      </c>
      <c r="C382" s="21" t="s">
        <v>309</v>
      </c>
      <c r="D382" s="21" t="s">
        <v>195</v>
      </c>
      <c r="E382" s="21" t="s">
        <v>141</v>
      </c>
      <c r="F382" s="22">
        <v>117</v>
      </c>
      <c r="G382" s="21" t="s">
        <v>142</v>
      </c>
      <c r="H382" s="23">
        <v>1000</v>
      </c>
      <c r="I382" s="21" t="s">
        <v>143</v>
      </c>
      <c r="J382" s="21" t="s">
        <v>196</v>
      </c>
      <c r="K382" s="21" t="s">
        <v>218</v>
      </c>
      <c r="L382" s="21" t="s">
        <v>193</v>
      </c>
      <c r="M382" s="23" t="s">
        <v>147</v>
      </c>
      <c r="N382" s="24" t="s">
        <v>218</v>
      </c>
    </row>
    <row r="383" spans="1:14" ht="15" customHeight="1" x14ac:dyDescent="0.3">
      <c r="A383" s="25" t="s">
        <v>222</v>
      </c>
      <c r="B383" s="25" t="s">
        <v>299</v>
      </c>
      <c r="C383" s="25" t="s">
        <v>305</v>
      </c>
      <c r="D383" s="25" t="s">
        <v>195</v>
      </c>
      <c r="E383" s="25" t="s">
        <v>141</v>
      </c>
      <c r="F383" s="26">
        <v>36805</v>
      </c>
      <c r="G383" s="25" t="s">
        <v>142</v>
      </c>
      <c r="H383" s="27">
        <v>1000</v>
      </c>
      <c r="I383" s="25" t="s">
        <v>143</v>
      </c>
      <c r="J383" s="25" t="s">
        <v>196</v>
      </c>
      <c r="K383" s="25" t="s">
        <v>218</v>
      </c>
      <c r="L383" s="25" t="s">
        <v>193</v>
      </c>
      <c r="M383" s="27" t="s">
        <v>147</v>
      </c>
      <c r="N383" s="28" t="s">
        <v>218</v>
      </c>
    </row>
    <row r="384" spans="1:14" ht="15" customHeight="1" x14ac:dyDescent="0.3">
      <c r="A384" s="21" t="s">
        <v>222</v>
      </c>
      <c r="B384" s="21" t="s">
        <v>301</v>
      </c>
      <c r="C384" s="21" t="s">
        <v>302</v>
      </c>
      <c r="D384" s="21" t="s">
        <v>195</v>
      </c>
      <c r="E384" s="21" t="s">
        <v>141</v>
      </c>
      <c r="F384" s="22">
        <v>-16906</v>
      </c>
      <c r="G384" s="21" t="s">
        <v>142</v>
      </c>
      <c r="H384" s="23">
        <v>1000</v>
      </c>
      <c r="I384" s="21" t="s">
        <v>143</v>
      </c>
      <c r="J384" s="21" t="s">
        <v>196</v>
      </c>
      <c r="K384" s="21" t="s">
        <v>218</v>
      </c>
      <c r="L384" s="21" t="s">
        <v>193</v>
      </c>
      <c r="M384" s="23" t="s">
        <v>147</v>
      </c>
      <c r="N384" s="24" t="s">
        <v>218</v>
      </c>
    </row>
    <row r="385" spans="1:14" ht="15" customHeight="1" x14ac:dyDescent="0.3">
      <c r="A385" s="25" t="s">
        <v>222</v>
      </c>
      <c r="B385" s="25" t="s">
        <v>288</v>
      </c>
      <c r="C385" s="25" t="s">
        <v>289</v>
      </c>
      <c r="D385" s="25" t="s">
        <v>197</v>
      </c>
      <c r="E385" s="25" t="s">
        <v>141</v>
      </c>
      <c r="F385" s="26">
        <v>44773</v>
      </c>
      <c r="G385" s="25" t="s">
        <v>142</v>
      </c>
      <c r="H385" s="27">
        <v>1000</v>
      </c>
      <c r="I385" s="25" t="s">
        <v>143</v>
      </c>
      <c r="J385" s="25" t="s">
        <v>198</v>
      </c>
      <c r="K385" s="25" t="s">
        <v>290</v>
      </c>
      <c r="L385" s="25" t="s">
        <v>193</v>
      </c>
      <c r="M385" s="27" t="s">
        <v>147</v>
      </c>
      <c r="N385" s="28" t="s">
        <v>290</v>
      </c>
    </row>
    <row r="386" spans="1:14" ht="15" customHeight="1" x14ac:dyDescent="0.3">
      <c r="A386" s="21" t="s">
        <v>222</v>
      </c>
      <c r="B386" s="21" t="s">
        <v>291</v>
      </c>
      <c r="C386" s="21" t="s">
        <v>292</v>
      </c>
      <c r="D386" s="21" t="s">
        <v>197</v>
      </c>
      <c r="E386" s="21" t="s">
        <v>141</v>
      </c>
      <c r="F386" s="22">
        <v>13095</v>
      </c>
      <c r="G386" s="21" t="s">
        <v>142</v>
      </c>
      <c r="H386" s="23">
        <v>1000</v>
      </c>
      <c r="I386" s="21" t="s">
        <v>143</v>
      </c>
      <c r="J386" s="21" t="s">
        <v>198</v>
      </c>
      <c r="K386" s="21" t="s">
        <v>290</v>
      </c>
      <c r="L386" s="21" t="s">
        <v>193</v>
      </c>
      <c r="M386" s="23" t="s">
        <v>147</v>
      </c>
      <c r="N386" s="24" t="s">
        <v>290</v>
      </c>
    </row>
    <row r="387" spans="1:14" ht="15" customHeight="1" x14ac:dyDescent="0.3">
      <c r="A387" s="25" t="s">
        <v>222</v>
      </c>
      <c r="B387" s="25" t="s">
        <v>293</v>
      </c>
      <c r="C387" s="25" t="s">
        <v>294</v>
      </c>
      <c r="D387" s="25" t="s">
        <v>197</v>
      </c>
      <c r="E387" s="25" t="s">
        <v>141</v>
      </c>
      <c r="F387" s="26">
        <v>57868</v>
      </c>
      <c r="G387" s="25" t="s">
        <v>142</v>
      </c>
      <c r="H387" s="27">
        <v>1000</v>
      </c>
      <c r="I387" s="25" t="s">
        <v>143</v>
      </c>
      <c r="J387" s="25" t="s">
        <v>198</v>
      </c>
      <c r="K387" s="25" t="s">
        <v>290</v>
      </c>
      <c r="L387" s="25" t="s">
        <v>193</v>
      </c>
      <c r="M387" s="27" t="s">
        <v>147</v>
      </c>
      <c r="N387" s="28" t="s">
        <v>290</v>
      </c>
    </row>
    <row r="388" spans="1:14" ht="15" customHeight="1" x14ac:dyDescent="0.3">
      <c r="A388" s="21" t="s">
        <v>222</v>
      </c>
      <c r="B388" s="21" t="s">
        <v>295</v>
      </c>
      <c r="C388" s="21" t="s">
        <v>296</v>
      </c>
      <c r="D388" s="21" t="s">
        <v>197</v>
      </c>
      <c r="E388" s="21" t="s">
        <v>141</v>
      </c>
      <c r="F388" s="22">
        <v>-21571</v>
      </c>
      <c r="G388" s="21" t="s">
        <v>142</v>
      </c>
      <c r="H388" s="23">
        <v>1000</v>
      </c>
      <c r="I388" s="21" t="s">
        <v>143</v>
      </c>
      <c r="J388" s="21" t="s">
        <v>198</v>
      </c>
      <c r="K388" s="21" t="s">
        <v>290</v>
      </c>
      <c r="L388" s="21" t="s">
        <v>193</v>
      </c>
      <c r="M388" s="23" t="s">
        <v>147</v>
      </c>
      <c r="N388" s="24" t="s">
        <v>290</v>
      </c>
    </row>
    <row r="389" spans="1:14" ht="15" customHeight="1" x14ac:dyDescent="0.3">
      <c r="A389" s="25" t="s">
        <v>222</v>
      </c>
      <c r="B389" s="25" t="s">
        <v>297</v>
      </c>
      <c r="C389" s="25" t="s">
        <v>298</v>
      </c>
      <c r="D389" s="25" t="s">
        <v>197</v>
      </c>
      <c r="E389" s="25" t="s">
        <v>141</v>
      </c>
      <c r="F389" s="26">
        <v>44849</v>
      </c>
      <c r="G389" s="25" t="s">
        <v>142</v>
      </c>
      <c r="H389" s="27">
        <v>1000</v>
      </c>
      <c r="I389" s="25" t="s">
        <v>143</v>
      </c>
      <c r="J389" s="25" t="s">
        <v>198</v>
      </c>
      <c r="K389" s="25" t="s">
        <v>218</v>
      </c>
      <c r="L389" s="25" t="s">
        <v>193</v>
      </c>
      <c r="M389" s="27" t="s">
        <v>147</v>
      </c>
      <c r="N389" s="28" t="s">
        <v>218</v>
      </c>
    </row>
    <row r="390" spans="1:14" ht="15" customHeight="1" x14ac:dyDescent="0.3">
      <c r="A390" s="21" t="s">
        <v>222</v>
      </c>
      <c r="B390" s="21" t="s">
        <v>306</v>
      </c>
      <c r="C390" s="21" t="s">
        <v>307</v>
      </c>
      <c r="D390" s="21" t="s">
        <v>197</v>
      </c>
      <c r="E390" s="21" t="s">
        <v>141</v>
      </c>
      <c r="F390" s="22">
        <v>9310</v>
      </c>
      <c r="G390" s="21" t="s">
        <v>142</v>
      </c>
      <c r="H390" s="23">
        <v>1000</v>
      </c>
      <c r="I390" s="21" t="s">
        <v>143</v>
      </c>
      <c r="J390" s="21" t="s">
        <v>198</v>
      </c>
      <c r="K390" s="21" t="s">
        <v>218</v>
      </c>
      <c r="L390" s="21" t="s">
        <v>193</v>
      </c>
      <c r="M390" s="23" t="s">
        <v>147</v>
      </c>
      <c r="N390" s="24" t="s">
        <v>218</v>
      </c>
    </row>
    <row r="391" spans="1:14" ht="15" customHeight="1" x14ac:dyDescent="0.3">
      <c r="A391" s="25" t="s">
        <v>222</v>
      </c>
      <c r="B391" s="25" t="s">
        <v>308</v>
      </c>
      <c r="C391" s="25" t="s">
        <v>309</v>
      </c>
      <c r="D391" s="25" t="s">
        <v>197</v>
      </c>
      <c r="E391" s="25" t="s">
        <v>141</v>
      </c>
      <c r="F391" s="26">
        <v>252</v>
      </c>
      <c r="G391" s="25" t="s">
        <v>142</v>
      </c>
      <c r="H391" s="27">
        <v>1000</v>
      </c>
      <c r="I391" s="25" t="s">
        <v>143</v>
      </c>
      <c r="J391" s="25" t="s">
        <v>198</v>
      </c>
      <c r="K391" s="25" t="s">
        <v>218</v>
      </c>
      <c r="L391" s="25" t="s">
        <v>193</v>
      </c>
      <c r="M391" s="27" t="s">
        <v>147</v>
      </c>
      <c r="N391" s="28" t="s">
        <v>218</v>
      </c>
    </row>
    <row r="392" spans="1:14" ht="15" customHeight="1" x14ac:dyDescent="0.3">
      <c r="A392" s="21" t="s">
        <v>222</v>
      </c>
      <c r="B392" s="21" t="s">
        <v>299</v>
      </c>
      <c r="C392" s="21" t="s">
        <v>305</v>
      </c>
      <c r="D392" s="21" t="s">
        <v>197</v>
      </c>
      <c r="E392" s="21" t="s">
        <v>141</v>
      </c>
      <c r="F392" s="22">
        <v>54411</v>
      </c>
      <c r="G392" s="21" t="s">
        <v>142</v>
      </c>
      <c r="H392" s="23">
        <v>1000</v>
      </c>
      <c r="I392" s="21" t="s">
        <v>143</v>
      </c>
      <c r="J392" s="21" t="s">
        <v>198</v>
      </c>
      <c r="K392" s="21" t="s">
        <v>218</v>
      </c>
      <c r="L392" s="21" t="s">
        <v>193</v>
      </c>
      <c r="M392" s="23" t="s">
        <v>147</v>
      </c>
      <c r="N392" s="24" t="s">
        <v>218</v>
      </c>
    </row>
    <row r="393" spans="1:14" ht="15" customHeight="1" x14ac:dyDescent="0.3">
      <c r="A393" s="25" t="s">
        <v>222</v>
      </c>
      <c r="B393" s="25" t="s">
        <v>301</v>
      </c>
      <c r="C393" s="25" t="s">
        <v>302</v>
      </c>
      <c r="D393" s="25" t="s">
        <v>197</v>
      </c>
      <c r="E393" s="25" t="s">
        <v>141</v>
      </c>
      <c r="F393" s="26">
        <v>-26102</v>
      </c>
      <c r="G393" s="25" t="s">
        <v>142</v>
      </c>
      <c r="H393" s="27">
        <v>1000</v>
      </c>
      <c r="I393" s="25" t="s">
        <v>143</v>
      </c>
      <c r="J393" s="25" t="s">
        <v>198</v>
      </c>
      <c r="K393" s="25" t="s">
        <v>218</v>
      </c>
      <c r="L393" s="25" t="s">
        <v>193</v>
      </c>
      <c r="M393" s="27" t="s">
        <v>147</v>
      </c>
      <c r="N393" s="28" t="s">
        <v>218</v>
      </c>
    </row>
    <row r="394" spans="1:14" ht="15" customHeight="1" x14ac:dyDescent="0.3">
      <c r="A394" s="21" t="s">
        <v>222</v>
      </c>
      <c r="B394" s="21" t="s">
        <v>288</v>
      </c>
      <c r="C394" s="21" t="s">
        <v>289</v>
      </c>
      <c r="D394" s="21" t="s">
        <v>208</v>
      </c>
      <c r="E394" s="21" t="s">
        <v>200</v>
      </c>
      <c r="F394" s="22">
        <v>52732</v>
      </c>
      <c r="G394" s="21" t="s">
        <v>142</v>
      </c>
      <c r="H394" s="23">
        <v>1000</v>
      </c>
      <c r="I394" s="21" t="s">
        <v>201</v>
      </c>
      <c r="J394" s="21" t="s">
        <v>284</v>
      </c>
      <c r="K394" s="21" t="s">
        <v>310</v>
      </c>
      <c r="L394" s="21" t="s">
        <v>210</v>
      </c>
      <c r="M394" s="23" t="s">
        <v>147</v>
      </c>
      <c r="N394" s="24" t="s">
        <v>310</v>
      </c>
    </row>
    <row r="395" spans="1:14" ht="15" customHeight="1" x14ac:dyDescent="0.3">
      <c r="A395" s="25" t="s">
        <v>222</v>
      </c>
      <c r="B395" s="25" t="s">
        <v>291</v>
      </c>
      <c r="C395" s="25" t="s">
        <v>292</v>
      </c>
      <c r="D395" s="25" t="s">
        <v>208</v>
      </c>
      <c r="E395" s="25" t="s">
        <v>200</v>
      </c>
      <c r="F395" s="26">
        <v>14136</v>
      </c>
      <c r="G395" s="25" t="s">
        <v>142</v>
      </c>
      <c r="H395" s="27">
        <v>1000</v>
      </c>
      <c r="I395" s="25" t="s">
        <v>201</v>
      </c>
      <c r="J395" s="25" t="s">
        <v>284</v>
      </c>
      <c r="K395" s="25" t="s">
        <v>310</v>
      </c>
      <c r="L395" s="25" t="s">
        <v>210</v>
      </c>
      <c r="M395" s="27" t="s">
        <v>147</v>
      </c>
      <c r="N395" s="28" t="s">
        <v>310</v>
      </c>
    </row>
    <row r="396" spans="1:14" ht="15" customHeight="1" x14ac:dyDescent="0.3">
      <c r="A396" s="21" t="s">
        <v>222</v>
      </c>
      <c r="B396" s="21" t="s">
        <v>293</v>
      </c>
      <c r="C396" s="21" t="s">
        <v>294</v>
      </c>
      <c r="D396" s="21" t="s">
        <v>208</v>
      </c>
      <c r="E396" s="21" t="s">
        <v>200</v>
      </c>
      <c r="F396" s="22">
        <v>66868</v>
      </c>
      <c r="G396" s="21" t="s">
        <v>142</v>
      </c>
      <c r="H396" s="23">
        <v>1000</v>
      </c>
      <c r="I396" s="21" t="s">
        <v>201</v>
      </c>
      <c r="J396" s="21" t="s">
        <v>284</v>
      </c>
      <c r="K396" s="21" t="s">
        <v>310</v>
      </c>
      <c r="L396" s="21" t="s">
        <v>210</v>
      </c>
      <c r="M396" s="23" t="s">
        <v>147</v>
      </c>
      <c r="N396" s="24" t="s">
        <v>310</v>
      </c>
    </row>
    <row r="397" spans="1:14" ht="15" customHeight="1" x14ac:dyDescent="0.3">
      <c r="A397" s="25" t="s">
        <v>222</v>
      </c>
      <c r="B397" s="25" t="s">
        <v>295</v>
      </c>
      <c r="C397" s="25" t="s">
        <v>296</v>
      </c>
      <c r="D397" s="25" t="s">
        <v>208</v>
      </c>
      <c r="E397" s="25" t="s">
        <v>200</v>
      </c>
      <c r="F397" s="26">
        <v>-24249</v>
      </c>
      <c r="G397" s="25" t="s">
        <v>142</v>
      </c>
      <c r="H397" s="27">
        <v>1000</v>
      </c>
      <c r="I397" s="25" t="s">
        <v>201</v>
      </c>
      <c r="J397" s="25" t="s">
        <v>284</v>
      </c>
      <c r="K397" s="25" t="s">
        <v>310</v>
      </c>
      <c r="L397" s="25" t="s">
        <v>210</v>
      </c>
      <c r="M397" s="27" t="s">
        <v>147</v>
      </c>
      <c r="N397" s="28" t="s">
        <v>310</v>
      </c>
    </row>
    <row r="398" spans="1:14" ht="15" customHeight="1" x14ac:dyDescent="0.3">
      <c r="A398" s="21" t="s">
        <v>222</v>
      </c>
      <c r="B398" s="21" t="s">
        <v>297</v>
      </c>
      <c r="C398" s="21" t="s">
        <v>298</v>
      </c>
      <c r="D398" s="21" t="s">
        <v>208</v>
      </c>
      <c r="E398" s="21" t="s">
        <v>200</v>
      </c>
      <c r="F398" s="22">
        <v>49858</v>
      </c>
      <c r="G398" s="21" t="s">
        <v>142</v>
      </c>
      <c r="H398" s="23">
        <v>1000</v>
      </c>
      <c r="I398" s="21" t="s">
        <v>201</v>
      </c>
      <c r="J398" s="21" t="s">
        <v>284</v>
      </c>
      <c r="K398" s="21" t="s">
        <v>221</v>
      </c>
      <c r="L398" s="21" t="s">
        <v>210</v>
      </c>
      <c r="M398" s="23" t="s">
        <v>147</v>
      </c>
      <c r="N398" s="24" t="s">
        <v>221</v>
      </c>
    </row>
    <row r="399" spans="1:14" ht="15" customHeight="1" x14ac:dyDescent="0.3">
      <c r="A399" s="25" t="s">
        <v>222</v>
      </c>
      <c r="B399" s="25" t="s">
        <v>306</v>
      </c>
      <c r="C399" s="25" t="s">
        <v>307</v>
      </c>
      <c r="D399" s="25" t="s">
        <v>208</v>
      </c>
      <c r="E399" s="25" t="s">
        <v>200</v>
      </c>
      <c r="F399" s="26">
        <v>9310</v>
      </c>
      <c r="G399" s="25" t="s">
        <v>142</v>
      </c>
      <c r="H399" s="27">
        <v>1000</v>
      </c>
      <c r="I399" s="25" t="s">
        <v>201</v>
      </c>
      <c r="J399" s="25" t="s">
        <v>284</v>
      </c>
      <c r="K399" s="25" t="s">
        <v>221</v>
      </c>
      <c r="L399" s="25" t="s">
        <v>210</v>
      </c>
      <c r="M399" s="27" t="s">
        <v>147</v>
      </c>
      <c r="N399" s="28" t="s">
        <v>221</v>
      </c>
    </row>
    <row r="400" spans="1:14" ht="15" customHeight="1" x14ac:dyDescent="0.3">
      <c r="A400" s="21" t="s">
        <v>222</v>
      </c>
      <c r="B400" s="21" t="s">
        <v>308</v>
      </c>
      <c r="C400" s="21" t="s">
        <v>309</v>
      </c>
      <c r="D400" s="21" t="s">
        <v>208</v>
      </c>
      <c r="E400" s="21" t="s">
        <v>200</v>
      </c>
      <c r="F400" s="22">
        <v>252</v>
      </c>
      <c r="G400" s="21" t="s">
        <v>142</v>
      </c>
      <c r="H400" s="23">
        <v>1000</v>
      </c>
      <c r="I400" s="21" t="s">
        <v>201</v>
      </c>
      <c r="J400" s="21" t="s">
        <v>284</v>
      </c>
      <c r="K400" s="21" t="s">
        <v>221</v>
      </c>
      <c r="L400" s="21" t="s">
        <v>210</v>
      </c>
      <c r="M400" s="23" t="s">
        <v>147</v>
      </c>
      <c r="N400" s="24" t="s">
        <v>221</v>
      </c>
    </row>
    <row r="401" spans="1:14" ht="15" customHeight="1" x14ac:dyDescent="0.3">
      <c r="A401" s="25" t="s">
        <v>222</v>
      </c>
      <c r="B401" s="25" t="s">
        <v>299</v>
      </c>
      <c r="C401" s="25" t="s">
        <v>305</v>
      </c>
      <c r="D401" s="25" t="s">
        <v>208</v>
      </c>
      <c r="E401" s="25" t="s">
        <v>200</v>
      </c>
      <c r="F401" s="26">
        <v>59420</v>
      </c>
      <c r="G401" s="25" t="s">
        <v>142</v>
      </c>
      <c r="H401" s="27">
        <v>1000</v>
      </c>
      <c r="I401" s="25" t="s">
        <v>201</v>
      </c>
      <c r="J401" s="25" t="s">
        <v>284</v>
      </c>
      <c r="K401" s="25" t="s">
        <v>221</v>
      </c>
      <c r="L401" s="25" t="s">
        <v>210</v>
      </c>
      <c r="M401" s="27" t="s">
        <v>147</v>
      </c>
      <c r="N401" s="28" t="s">
        <v>221</v>
      </c>
    </row>
    <row r="402" spans="1:14" ht="15" customHeight="1" x14ac:dyDescent="0.3">
      <c r="A402" s="21" t="s">
        <v>222</v>
      </c>
      <c r="B402" s="21" t="s">
        <v>301</v>
      </c>
      <c r="C402" s="21" t="s">
        <v>302</v>
      </c>
      <c r="D402" s="21" t="s">
        <v>208</v>
      </c>
      <c r="E402" s="21" t="s">
        <v>200</v>
      </c>
      <c r="F402" s="22">
        <v>-31822</v>
      </c>
      <c r="G402" s="21" t="s">
        <v>142</v>
      </c>
      <c r="H402" s="23">
        <v>1000</v>
      </c>
      <c r="I402" s="21" t="s">
        <v>201</v>
      </c>
      <c r="J402" s="21" t="s">
        <v>284</v>
      </c>
      <c r="K402" s="21" t="s">
        <v>221</v>
      </c>
      <c r="L402" s="21" t="s">
        <v>210</v>
      </c>
      <c r="M402" s="23" t="s">
        <v>147</v>
      </c>
      <c r="N402" s="24" t="s">
        <v>221</v>
      </c>
    </row>
    <row r="403" spans="1:14" ht="15" customHeight="1" x14ac:dyDescent="0.3">
      <c r="A403" s="25" t="s">
        <v>311</v>
      </c>
      <c r="B403" s="25" t="s">
        <v>312</v>
      </c>
      <c r="C403" s="25" t="s">
        <v>313</v>
      </c>
      <c r="D403" s="25" t="s">
        <v>197</v>
      </c>
      <c r="E403" s="25" t="s">
        <v>141</v>
      </c>
      <c r="F403" s="26">
        <v>414065</v>
      </c>
      <c r="G403" s="25" t="s">
        <v>142</v>
      </c>
      <c r="H403" s="27">
        <v>1000</v>
      </c>
      <c r="I403" s="25" t="s">
        <v>143</v>
      </c>
      <c r="J403" s="25" t="s">
        <v>198</v>
      </c>
      <c r="K403" s="25" t="s">
        <v>314</v>
      </c>
      <c r="L403" s="25" t="s">
        <v>193</v>
      </c>
      <c r="M403" s="27" t="s">
        <v>147</v>
      </c>
      <c r="N403" s="28" t="s">
        <v>314</v>
      </c>
    </row>
    <row r="404" spans="1:14" ht="15" customHeight="1" x14ac:dyDescent="0.3">
      <c r="A404" s="21" t="s">
        <v>311</v>
      </c>
      <c r="B404" s="21" t="s">
        <v>315</v>
      </c>
      <c r="C404" s="21" t="s">
        <v>316</v>
      </c>
      <c r="D404" s="21" t="s">
        <v>197</v>
      </c>
      <c r="E404" s="21" t="s">
        <v>141</v>
      </c>
      <c r="F404" s="22">
        <v>-225185</v>
      </c>
      <c r="G404" s="21" t="s">
        <v>142</v>
      </c>
      <c r="H404" s="23">
        <v>1000</v>
      </c>
      <c r="I404" s="21" t="s">
        <v>143</v>
      </c>
      <c r="J404" s="21" t="s">
        <v>198</v>
      </c>
      <c r="K404" s="21" t="s">
        <v>314</v>
      </c>
      <c r="L404" s="21" t="s">
        <v>193</v>
      </c>
      <c r="M404" s="23" t="s">
        <v>147</v>
      </c>
      <c r="N404" s="24" t="s">
        <v>314</v>
      </c>
    </row>
    <row r="405" spans="1:14" ht="15" customHeight="1" x14ac:dyDescent="0.3">
      <c r="A405" s="25" t="s">
        <v>311</v>
      </c>
      <c r="B405" s="25" t="s">
        <v>317</v>
      </c>
      <c r="C405" s="25" t="s">
        <v>318</v>
      </c>
      <c r="D405" s="25" t="s">
        <v>197</v>
      </c>
      <c r="E405" s="25" t="s">
        <v>141</v>
      </c>
      <c r="F405" s="26">
        <v>137437</v>
      </c>
      <c r="G405" s="25" t="s">
        <v>142</v>
      </c>
      <c r="H405" s="27">
        <v>1000</v>
      </c>
      <c r="I405" s="25" t="s">
        <v>143</v>
      </c>
      <c r="J405" s="25" t="s">
        <v>198</v>
      </c>
      <c r="K405" s="25" t="s">
        <v>314</v>
      </c>
      <c r="L405" s="25" t="s">
        <v>193</v>
      </c>
      <c r="M405" s="27" t="s">
        <v>147</v>
      </c>
      <c r="N405" s="28" t="s">
        <v>314</v>
      </c>
    </row>
    <row r="406" spans="1:14" ht="15" customHeight="1" x14ac:dyDescent="0.3">
      <c r="A406" s="21" t="s">
        <v>311</v>
      </c>
      <c r="B406" s="21" t="s">
        <v>319</v>
      </c>
      <c r="C406" s="21" t="s">
        <v>320</v>
      </c>
      <c r="D406" s="21" t="s">
        <v>197</v>
      </c>
      <c r="E406" s="21" t="s">
        <v>141</v>
      </c>
      <c r="F406" s="22">
        <v>14391</v>
      </c>
      <c r="G406" s="21" t="s">
        <v>142</v>
      </c>
      <c r="H406" s="23">
        <v>1000</v>
      </c>
      <c r="I406" s="21" t="s">
        <v>143</v>
      </c>
      <c r="J406" s="21" t="s">
        <v>198</v>
      </c>
      <c r="K406" s="21" t="s">
        <v>314</v>
      </c>
      <c r="L406" s="21" t="s">
        <v>193</v>
      </c>
      <c r="M406" s="23" t="s">
        <v>147</v>
      </c>
      <c r="N406" s="24" t="s">
        <v>314</v>
      </c>
    </row>
    <row r="407" spans="1:14" ht="15" customHeight="1" x14ac:dyDescent="0.3">
      <c r="A407" s="25" t="s">
        <v>311</v>
      </c>
      <c r="B407" s="25" t="s">
        <v>321</v>
      </c>
      <c r="C407" s="25" t="s">
        <v>322</v>
      </c>
      <c r="D407" s="25" t="s">
        <v>197</v>
      </c>
      <c r="E407" s="25" t="s">
        <v>141</v>
      </c>
      <c r="F407" s="26">
        <v>-1851</v>
      </c>
      <c r="G407" s="25" t="s">
        <v>142</v>
      </c>
      <c r="H407" s="27">
        <v>1000</v>
      </c>
      <c r="I407" s="25" t="s">
        <v>143</v>
      </c>
      <c r="J407" s="25" t="s">
        <v>198</v>
      </c>
      <c r="K407" s="25" t="s">
        <v>314</v>
      </c>
      <c r="L407" s="25" t="s">
        <v>193</v>
      </c>
      <c r="M407" s="27" t="s">
        <v>147</v>
      </c>
      <c r="N407" s="28" t="s">
        <v>314</v>
      </c>
    </row>
    <row r="408" spans="1:14" ht="15" customHeight="1" x14ac:dyDescent="0.3">
      <c r="A408" s="21" t="s">
        <v>311</v>
      </c>
      <c r="B408" s="21" t="s">
        <v>323</v>
      </c>
      <c r="C408" s="21" t="s">
        <v>324</v>
      </c>
      <c r="D408" s="21" t="s">
        <v>197</v>
      </c>
      <c r="E408" s="21" t="s">
        <v>141</v>
      </c>
      <c r="F408" s="22">
        <v>123321</v>
      </c>
      <c r="G408" s="21" t="s">
        <v>142</v>
      </c>
      <c r="H408" s="23">
        <v>1000</v>
      </c>
      <c r="I408" s="21" t="s">
        <v>143</v>
      </c>
      <c r="J408" s="21" t="s">
        <v>198</v>
      </c>
      <c r="K408" s="21" t="s">
        <v>314</v>
      </c>
      <c r="L408" s="21" t="s">
        <v>193</v>
      </c>
      <c r="M408" s="23" t="s">
        <v>147</v>
      </c>
      <c r="N408" s="24" t="s">
        <v>314</v>
      </c>
    </row>
    <row r="409" spans="1:14" ht="15" customHeight="1" x14ac:dyDescent="0.3">
      <c r="A409" s="25" t="s">
        <v>311</v>
      </c>
      <c r="B409" s="25" t="s">
        <v>325</v>
      </c>
      <c r="C409" s="25" t="s">
        <v>227</v>
      </c>
      <c r="D409" s="25" t="s">
        <v>197</v>
      </c>
      <c r="E409" s="25" t="s">
        <v>141</v>
      </c>
      <c r="F409" s="26">
        <v>-33904</v>
      </c>
      <c r="G409" s="25" t="s">
        <v>142</v>
      </c>
      <c r="H409" s="27">
        <v>1000</v>
      </c>
      <c r="I409" s="25" t="s">
        <v>143</v>
      </c>
      <c r="J409" s="25" t="s">
        <v>198</v>
      </c>
      <c r="K409" s="25" t="s">
        <v>314</v>
      </c>
      <c r="L409" s="25" t="s">
        <v>193</v>
      </c>
      <c r="M409" s="27" t="s">
        <v>147</v>
      </c>
      <c r="N409" s="28" t="s">
        <v>314</v>
      </c>
    </row>
    <row r="410" spans="1:14" ht="15" customHeight="1" x14ac:dyDescent="0.3">
      <c r="A410" s="21" t="s">
        <v>311</v>
      </c>
      <c r="B410" s="21" t="s">
        <v>326</v>
      </c>
      <c r="C410" s="21" t="s">
        <v>229</v>
      </c>
      <c r="D410" s="21" t="s">
        <v>197</v>
      </c>
      <c r="E410" s="21" t="s">
        <v>141</v>
      </c>
      <c r="F410" s="22">
        <v>-22501</v>
      </c>
      <c r="G410" s="21" t="s">
        <v>142</v>
      </c>
      <c r="H410" s="23">
        <v>1000</v>
      </c>
      <c r="I410" s="21" t="s">
        <v>143</v>
      </c>
      <c r="J410" s="21" t="s">
        <v>198</v>
      </c>
      <c r="K410" s="21" t="s">
        <v>314</v>
      </c>
      <c r="L410" s="21" t="s">
        <v>193</v>
      </c>
      <c r="M410" s="23" t="s">
        <v>147</v>
      </c>
      <c r="N410" s="24" t="s">
        <v>314</v>
      </c>
    </row>
    <row r="411" spans="1:14" ht="15" customHeight="1" x14ac:dyDescent="0.3">
      <c r="A411" s="25" t="s">
        <v>311</v>
      </c>
      <c r="B411" s="25" t="s">
        <v>327</v>
      </c>
      <c r="C411" s="25" t="s">
        <v>231</v>
      </c>
      <c r="D411" s="25" t="s">
        <v>197</v>
      </c>
      <c r="E411" s="25" t="s">
        <v>141</v>
      </c>
      <c r="F411" s="26">
        <v>-15791</v>
      </c>
      <c r="G411" s="25" t="s">
        <v>142</v>
      </c>
      <c r="H411" s="27">
        <v>1000</v>
      </c>
      <c r="I411" s="25" t="s">
        <v>143</v>
      </c>
      <c r="J411" s="25" t="s">
        <v>198</v>
      </c>
      <c r="K411" s="25" t="s">
        <v>314</v>
      </c>
      <c r="L411" s="25" t="s">
        <v>193</v>
      </c>
      <c r="M411" s="27" t="s">
        <v>147</v>
      </c>
      <c r="N411" s="28" t="s">
        <v>314</v>
      </c>
    </row>
    <row r="412" spans="1:14" ht="15" customHeight="1" x14ac:dyDescent="0.3">
      <c r="A412" s="21" t="s">
        <v>311</v>
      </c>
      <c r="B412" s="21" t="s">
        <v>328</v>
      </c>
      <c r="C412" s="21" t="s">
        <v>247</v>
      </c>
      <c r="D412" s="21" t="s">
        <v>197</v>
      </c>
      <c r="E412" s="21" t="s">
        <v>141</v>
      </c>
      <c r="F412" s="22">
        <v>1617</v>
      </c>
      <c r="G412" s="21" t="s">
        <v>142</v>
      </c>
      <c r="H412" s="23">
        <v>1000</v>
      </c>
      <c r="I412" s="21" t="s">
        <v>143</v>
      </c>
      <c r="J412" s="21" t="s">
        <v>198</v>
      </c>
      <c r="K412" s="21" t="s">
        <v>314</v>
      </c>
      <c r="L412" s="21" t="s">
        <v>193</v>
      </c>
      <c r="M412" s="23" t="s">
        <v>147</v>
      </c>
      <c r="N412" s="24" t="s">
        <v>314</v>
      </c>
    </row>
    <row r="413" spans="1:14" ht="15" customHeight="1" x14ac:dyDescent="0.3">
      <c r="A413" s="25" t="s">
        <v>311</v>
      </c>
      <c r="B413" s="25" t="s">
        <v>329</v>
      </c>
      <c r="C413" s="25" t="s">
        <v>251</v>
      </c>
      <c r="D413" s="25" t="s">
        <v>197</v>
      </c>
      <c r="E413" s="25" t="s">
        <v>141</v>
      </c>
      <c r="F413" s="26">
        <v>255</v>
      </c>
      <c r="G413" s="25" t="s">
        <v>142</v>
      </c>
      <c r="H413" s="27">
        <v>1000</v>
      </c>
      <c r="I413" s="25" t="s">
        <v>143</v>
      </c>
      <c r="J413" s="25" t="s">
        <v>198</v>
      </c>
      <c r="K413" s="25" t="s">
        <v>314</v>
      </c>
      <c r="L413" s="25" t="s">
        <v>193</v>
      </c>
      <c r="M413" s="27" t="s">
        <v>147</v>
      </c>
      <c r="N413" s="28" t="s">
        <v>314</v>
      </c>
    </row>
    <row r="414" spans="1:14" ht="15" customHeight="1" x14ac:dyDescent="0.3">
      <c r="A414" s="21" t="s">
        <v>311</v>
      </c>
      <c r="B414" s="21" t="s">
        <v>330</v>
      </c>
      <c r="C414" s="21" t="s">
        <v>331</v>
      </c>
      <c r="D414" s="21" t="s">
        <v>197</v>
      </c>
      <c r="E414" s="21" t="s">
        <v>141</v>
      </c>
      <c r="F414" s="22">
        <v>-4031</v>
      </c>
      <c r="G414" s="21" t="s">
        <v>142</v>
      </c>
      <c r="H414" s="23">
        <v>1000</v>
      </c>
      <c r="I414" s="21" t="s">
        <v>143</v>
      </c>
      <c r="J414" s="21" t="s">
        <v>198</v>
      </c>
      <c r="K414" s="21" t="s">
        <v>314</v>
      </c>
      <c r="L414" s="21" t="s">
        <v>193</v>
      </c>
      <c r="M414" s="23" t="s">
        <v>147</v>
      </c>
      <c r="N414" s="24" t="s">
        <v>314</v>
      </c>
    </row>
    <row r="415" spans="1:14" ht="15" customHeight="1" x14ac:dyDescent="0.3">
      <c r="A415" s="25" t="s">
        <v>311</v>
      </c>
      <c r="B415" s="25" t="s">
        <v>332</v>
      </c>
      <c r="C415" s="25" t="s">
        <v>333</v>
      </c>
      <c r="D415" s="25" t="s">
        <v>197</v>
      </c>
      <c r="E415" s="25" t="s">
        <v>141</v>
      </c>
      <c r="F415" s="26">
        <v>387823</v>
      </c>
      <c r="G415" s="25" t="s">
        <v>142</v>
      </c>
      <c r="H415" s="27">
        <v>1000</v>
      </c>
      <c r="I415" s="25" t="s">
        <v>143</v>
      </c>
      <c r="J415" s="25" t="s">
        <v>198</v>
      </c>
      <c r="K415" s="25" t="s">
        <v>314</v>
      </c>
      <c r="L415" s="25" t="s">
        <v>193</v>
      </c>
      <c r="M415" s="27" t="s">
        <v>147</v>
      </c>
      <c r="N415" s="28" t="s">
        <v>314</v>
      </c>
    </row>
    <row r="416" spans="1:14" ht="15" customHeight="1" x14ac:dyDescent="0.3">
      <c r="A416" s="21" t="s">
        <v>311</v>
      </c>
      <c r="B416" s="21" t="s">
        <v>334</v>
      </c>
      <c r="C416" s="21" t="s">
        <v>335</v>
      </c>
      <c r="D416" s="21" t="s">
        <v>197</v>
      </c>
      <c r="E416" s="21" t="s">
        <v>141</v>
      </c>
      <c r="F416" s="22">
        <v>-162926</v>
      </c>
      <c r="G416" s="21" t="s">
        <v>142</v>
      </c>
      <c r="H416" s="23">
        <v>1000</v>
      </c>
      <c r="I416" s="21" t="s">
        <v>143</v>
      </c>
      <c r="J416" s="21" t="s">
        <v>198</v>
      </c>
      <c r="K416" s="21" t="s">
        <v>314</v>
      </c>
      <c r="L416" s="21" t="s">
        <v>193</v>
      </c>
      <c r="M416" s="23" t="s">
        <v>147</v>
      </c>
      <c r="N416" s="24" t="s">
        <v>314</v>
      </c>
    </row>
    <row r="417" spans="1:14" ht="15" customHeight="1" x14ac:dyDescent="0.3">
      <c r="A417" s="25" t="s">
        <v>311</v>
      </c>
      <c r="B417" s="25" t="s">
        <v>336</v>
      </c>
      <c r="C417" s="25" t="s">
        <v>337</v>
      </c>
      <c r="D417" s="25" t="s">
        <v>197</v>
      </c>
      <c r="E417" s="25" t="s">
        <v>141</v>
      </c>
      <c r="F417" s="26">
        <v>115747</v>
      </c>
      <c r="G417" s="25" t="s">
        <v>142</v>
      </c>
      <c r="H417" s="27">
        <v>1000</v>
      </c>
      <c r="I417" s="25" t="s">
        <v>143</v>
      </c>
      <c r="J417" s="25" t="s">
        <v>198</v>
      </c>
      <c r="K417" s="25" t="s">
        <v>314</v>
      </c>
      <c r="L417" s="25" t="s">
        <v>193</v>
      </c>
      <c r="M417" s="27" t="s">
        <v>147</v>
      </c>
      <c r="N417" s="28" t="s">
        <v>314</v>
      </c>
    </row>
    <row r="418" spans="1:14" ht="15" customHeight="1" x14ac:dyDescent="0.3">
      <c r="A418" s="21" t="s">
        <v>311</v>
      </c>
      <c r="B418" s="21" t="s">
        <v>338</v>
      </c>
      <c r="C418" s="21" t="s">
        <v>339</v>
      </c>
      <c r="D418" s="21" t="s">
        <v>197</v>
      </c>
      <c r="E418" s="21" t="s">
        <v>141</v>
      </c>
      <c r="F418" s="22">
        <v>-9303</v>
      </c>
      <c r="G418" s="21" t="s">
        <v>142</v>
      </c>
      <c r="H418" s="23">
        <v>1000</v>
      </c>
      <c r="I418" s="21" t="s">
        <v>143</v>
      </c>
      <c r="J418" s="21" t="s">
        <v>198</v>
      </c>
      <c r="K418" s="21" t="s">
        <v>314</v>
      </c>
      <c r="L418" s="21" t="s">
        <v>193</v>
      </c>
      <c r="M418" s="23" t="s">
        <v>147</v>
      </c>
      <c r="N418" s="24" t="s">
        <v>314</v>
      </c>
    </row>
    <row r="419" spans="1:14" ht="15" customHeight="1" x14ac:dyDescent="0.3">
      <c r="A419" s="25" t="s">
        <v>311</v>
      </c>
      <c r="B419" s="25" t="s">
        <v>340</v>
      </c>
      <c r="C419" s="25" t="s">
        <v>341</v>
      </c>
      <c r="D419" s="25" t="s">
        <v>197</v>
      </c>
      <c r="E419" s="25" t="s">
        <v>141</v>
      </c>
      <c r="F419" s="26">
        <v>-18096</v>
      </c>
      <c r="G419" s="25" t="s">
        <v>142</v>
      </c>
      <c r="H419" s="27">
        <v>1000</v>
      </c>
      <c r="I419" s="25" t="s">
        <v>143</v>
      </c>
      <c r="J419" s="25" t="s">
        <v>198</v>
      </c>
      <c r="K419" s="25" t="s">
        <v>314</v>
      </c>
      <c r="L419" s="25" t="s">
        <v>193</v>
      </c>
      <c r="M419" s="27" t="s">
        <v>147</v>
      </c>
      <c r="N419" s="28" t="s">
        <v>314</v>
      </c>
    </row>
    <row r="420" spans="1:14" ht="15" customHeight="1" x14ac:dyDescent="0.3">
      <c r="A420" s="21" t="s">
        <v>311</v>
      </c>
      <c r="B420" s="21" t="s">
        <v>342</v>
      </c>
      <c r="C420" s="21" t="s">
        <v>343</v>
      </c>
      <c r="D420" s="21" t="s">
        <v>197</v>
      </c>
      <c r="E420" s="21" t="s">
        <v>141</v>
      </c>
      <c r="F420" s="22">
        <v>-33100</v>
      </c>
      <c r="G420" s="21" t="s">
        <v>142</v>
      </c>
      <c r="H420" s="23">
        <v>1000</v>
      </c>
      <c r="I420" s="21" t="s">
        <v>143</v>
      </c>
      <c r="J420" s="21" t="s">
        <v>198</v>
      </c>
      <c r="K420" s="21" t="s">
        <v>314</v>
      </c>
      <c r="L420" s="21" t="s">
        <v>193</v>
      </c>
      <c r="M420" s="23" t="s">
        <v>147</v>
      </c>
      <c r="N420" s="24" t="s">
        <v>314</v>
      </c>
    </row>
    <row r="421" spans="1:14" ht="15" customHeight="1" x14ac:dyDescent="0.3">
      <c r="A421" s="25" t="s">
        <v>311</v>
      </c>
      <c r="B421" s="25" t="s">
        <v>344</v>
      </c>
      <c r="C421" s="25" t="s">
        <v>345</v>
      </c>
      <c r="D421" s="25" t="s">
        <v>197</v>
      </c>
      <c r="E421" s="25" t="s">
        <v>141</v>
      </c>
      <c r="F421" s="26">
        <v>-500</v>
      </c>
      <c r="G421" s="25" t="s">
        <v>142</v>
      </c>
      <c r="H421" s="27">
        <v>1000</v>
      </c>
      <c r="I421" s="25" t="s">
        <v>143</v>
      </c>
      <c r="J421" s="25" t="s">
        <v>198</v>
      </c>
      <c r="K421" s="25" t="s">
        <v>314</v>
      </c>
      <c r="L421" s="25" t="s">
        <v>193</v>
      </c>
      <c r="M421" s="27" t="s">
        <v>147</v>
      </c>
      <c r="N421" s="28" t="s">
        <v>314</v>
      </c>
    </row>
    <row r="422" spans="1:14" ht="15" customHeight="1" x14ac:dyDescent="0.3">
      <c r="A422" s="21" t="s">
        <v>311</v>
      </c>
      <c r="B422" s="21" t="s">
        <v>346</v>
      </c>
      <c r="C422" s="21" t="s">
        <v>347</v>
      </c>
      <c r="D422" s="21" t="s">
        <v>197</v>
      </c>
      <c r="E422" s="21" t="s">
        <v>141</v>
      </c>
      <c r="F422" s="22">
        <v>-107678</v>
      </c>
      <c r="G422" s="21" t="s">
        <v>142</v>
      </c>
      <c r="H422" s="23">
        <v>1000</v>
      </c>
      <c r="I422" s="21" t="s">
        <v>143</v>
      </c>
      <c r="J422" s="21" t="s">
        <v>198</v>
      </c>
      <c r="K422" s="21" t="s">
        <v>314</v>
      </c>
      <c r="L422" s="21" t="s">
        <v>193</v>
      </c>
      <c r="M422" s="23" t="s">
        <v>147</v>
      </c>
      <c r="N422" s="24" t="s">
        <v>314</v>
      </c>
    </row>
    <row r="423" spans="1:14" ht="15" customHeight="1" x14ac:dyDescent="0.3">
      <c r="A423" s="25" t="s">
        <v>311</v>
      </c>
      <c r="B423" s="25" t="s">
        <v>348</v>
      </c>
      <c r="C423" s="25" t="s">
        <v>349</v>
      </c>
      <c r="D423" s="25" t="s">
        <v>197</v>
      </c>
      <c r="E423" s="25" t="s">
        <v>141</v>
      </c>
      <c r="F423" s="26">
        <v>12570</v>
      </c>
      <c r="G423" s="25" t="s">
        <v>142</v>
      </c>
      <c r="H423" s="27">
        <v>1000</v>
      </c>
      <c r="I423" s="25" t="s">
        <v>143</v>
      </c>
      <c r="J423" s="25" t="s">
        <v>198</v>
      </c>
      <c r="K423" s="25" t="s">
        <v>314</v>
      </c>
      <c r="L423" s="25" t="s">
        <v>193</v>
      </c>
      <c r="M423" s="27" t="s">
        <v>147</v>
      </c>
      <c r="N423" s="28" t="s">
        <v>314</v>
      </c>
    </row>
    <row r="424" spans="1:14" ht="15" customHeight="1" x14ac:dyDescent="0.3">
      <c r="A424" s="21" t="s">
        <v>311</v>
      </c>
      <c r="B424" s="21" t="s">
        <v>350</v>
      </c>
      <c r="C424" s="21" t="s">
        <v>351</v>
      </c>
      <c r="D424" s="21" t="s">
        <v>197</v>
      </c>
      <c r="E424" s="21" t="s">
        <v>141</v>
      </c>
      <c r="F424" s="22">
        <v>-41617</v>
      </c>
      <c r="G424" s="21" t="s">
        <v>142</v>
      </c>
      <c r="H424" s="23">
        <v>1000</v>
      </c>
      <c r="I424" s="21" t="s">
        <v>143</v>
      </c>
      <c r="J424" s="21" t="s">
        <v>198</v>
      </c>
      <c r="K424" s="21" t="s">
        <v>314</v>
      </c>
      <c r="L424" s="21" t="s">
        <v>193</v>
      </c>
      <c r="M424" s="23" t="s">
        <v>147</v>
      </c>
      <c r="N424" s="24" t="s">
        <v>314</v>
      </c>
    </row>
    <row r="425" spans="1:14" ht="15" customHeight="1" x14ac:dyDescent="0.3">
      <c r="A425" s="25" t="s">
        <v>311</v>
      </c>
      <c r="B425" s="25" t="s">
        <v>352</v>
      </c>
      <c r="C425" s="25" t="s">
        <v>353</v>
      </c>
      <c r="D425" s="25" t="s">
        <v>197</v>
      </c>
      <c r="E425" s="25" t="s">
        <v>141</v>
      </c>
      <c r="F425" s="26">
        <v>-29547</v>
      </c>
      <c r="G425" s="25" t="s">
        <v>142</v>
      </c>
      <c r="H425" s="27">
        <v>1000</v>
      </c>
      <c r="I425" s="25" t="s">
        <v>143</v>
      </c>
      <c r="J425" s="25" t="s">
        <v>198</v>
      </c>
      <c r="K425" s="25" t="s">
        <v>314</v>
      </c>
      <c r="L425" s="25" t="s">
        <v>193</v>
      </c>
      <c r="M425" s="27" t="s">
        <v>147</v>
      </c>
      <c r="N425" s="28" t="s">
        <v>314</v>
      </c>
    </row>
    <row r="426" spans="1:14" ht="15" customHeight="1" x14ac:dyDescent="0.3">
      <c r="A426" s="21" t="s">
        <v>311</v>
      </c>
      <c r="B426" s="21" t="s">
        <v>354</v>
      </c>
      <c r="C426" s="21" t="s">
        <v>355</v>
      </c>
      <c r="D426" s="21" t="s">
        <v>197</v>
      </c>
      <c r="E426" s="21" t="s">
        <v>141</v>
      </c>
      <c r="F426" s="22">
        <v>250598</v>
      </c>
      <c r="G426" s="21" t="s">
        <v>142</v>
      </c>
      <c r="H426" s="23">
        <v>1000</v>
      </c>
      <c r="I426" s="21" t="s">
        <v>143</v>
      </c>
      <c r="J426" s="21" t="s">
        <v>198</v>
      </c>
      <c r="K426" s="21" t="s">
        <v>314</v>
      </c>
      <c r="L426" s="21" t="s">
        <v>193</v>
      </c>
      <c r="M426" s="23" t="s">
        <v>147</v>
      </c>
      <c r="N426" s="24" t="s">
        <v>314</v>
      </c>
    </row>
    <row r="427" spans="1:14" ht="15" customHeight="1" x14ac:dyDescent="0.3">
      <c r="A427" s="25" t="s">
        <v>311</v>
      </c>
      <c r="B427" s="25" t="s">
        <v>356</v>
      </c>
      <c r="C427" s="25" t="s">
        <v>357</v>
      </c>
      <c r="D427" s="25" t="s">
        <v>197</v>
      </c>
      <c r="E427" s="25" t="s">
        <v>141</v>
      </c>
      <c r="F427" s="26">
        <v>788526</v>
      </c>
      <c r="G427" s="25" t="s">
        <v>142</v>
      </c>
      <c r="H427" s="27">
        <v>1000</v>
      </c>
      <c r="I427" s="25" t="s">
        <v>143</v>
      </c>
      <c r="J427" s="25" t="s">
        <v>198</v>
      </c>
      <c r="K427" s="25" t="s">
        <v>314</v>
      </c>
      <c r="L427" s="25" t="s">
        <v>193</v>
      </c>
      <c r="M427" s="27" t="s">
        <v>147</v>
      </c>
      <c r="N427" s="28" t="s">
        <v>314</v>
      </c>
    </row>
    <row r="428" spans="1:14" ht="15" customHeight="1" x14ac:dyDescent="0.3">
      <c r="A428" s="21" t="s">
        <v>311</v>
      </c>
      <c r="B428" s="21" t="s">
        <v>358</v>
      </c>
      <c r="C428" s="21" t="s">
        <v>359</v>
      </c>
      <c r="D428" s="21" t="s">
        <v>197</v>
      </c>
      <c r="E428" s="21" t="s">
        <v>141</v>
      </c>
      <c r="F428" s="22">
        <v>1039124</v>
      </c>
      <c r="G428" s="21" t="s">
        <v>142</v>
      </c>
      <c r="H428" s="23">
        <v>1000</v>
      </c>
      <c r="I428" s="21" t="s">
        <v>143</v>
      </c>
      <c r="J428" s="21" t="s">
        <v>198</v>
      </c>
      <c r="K428" s="21" t="s">
        <v>314</v>
      </c>
      <c r="L428" s="21" t="s">
        <v>193</v>
      </c>
      <c r="M428" s="23" t="s">
        <v>147</v>
      </c>
      <c r="N428" s="24" t="s">
        <v>314</v>
      </c>
    </row>
    <row r="429" spans="1:14" ht="15" customHeight="1" x14ac:dyDescent="0.3">
      <c r="A429" s="25" t="s">
        <v>311</v>
      </c>
      <c r="B429" s="25" t="s">
        <v>312</v>
      </c>
      <c r="C429" s="25" t="s">
        <v>313</v>
      </c>
      <c r="D429" s="25" t="s">
        <v>195</v>
      </c>
      <c r="E429" s="25" t="s">
        <v>141</v>
      </c>
      <c r="F429" s="26">
        <v>88574</v>
      </c>
      <c r="G429" s="25" t="s">
        <v>142</v>
      </c>
      <c r="H429" s="27">
        <v>1000</v>
      </c>
      <c r="I429" s="25" t="s">
        <v>143</v>
      </c>
      <c r="J429" s="25" t="s">
        <v>196</v>
      </c>
      <c r="K429" s="25" t="s">
        <v>314</v>
      </c>
      <c r="L429" s="25" t="s">
        <v>193</v>
      </c>
      <c r="M429" s="27" t="s">
        <v>147</v>
      </c>
      <c r="N429" s="28" t="s">
        <v>314</v>
      </c>
    </row>
    <row r="430" spans="1:14" ht="15" customHeight="1" x14ac:dyDescent="0.3">
      <c r="A430" s="21" t="s">
        <v>311</v>
      </c>
      <c r="B430" s="21" t="s">
        <v>317</v>
      </c>
      <c r="C430" s="21" t="s">
        <v>318</v>
      </c>
      <c r="D430" s="21" t="s">
        <v>195</v>
      </c>
      <c r="E430" s="21" t="s">
        <v>141</v>
      </c>
      <c r="F430" s="22">
        <v>110477</v>
      </c>
      <c r="G430" s="21" t="s">
        <v>142</v>
      </c>
      <c r="H430" s="23">
        <v>1000</v>
      </c>
      <c r="I430" s="21" t="s">
        <v>143</v>
      </c>
      <c r="J430" s="21" t="s">
        <v>196</v>
      </c>
      <c r="K430" s="21" t="s">
        <v>314</v>
      </c>
      <c r="L430" s="21" t="s">
        <v>193</v>
      </c>
      <c r="M430" s="23" t="s">
        <v>147</v>
      </c>
      <c r="N430" s="24" t="s">
        <v>314</v>
      </c>
    </row>
    <row r="431" spans="1:14" ht="15" customHeight="1" x14ac:dyDescent="0.3">
      <c r="A431" s="25" t="s">
        <v>311</v>
      </c>
      <c r="B431" s="25" t="s">
        <v>319</v>
      </c>
      <c r="C431" s="25" t="s">
        <v>320</v>
      </c>
      <c r="D431" s="25" t="s">
        <v>195</v>
      </c>
      <c r="E431" s="25" t="s">
        <v>141</v>
      </c>
      <c r="F431" s="26">
        <v>10854</v>
      </c>
      <c r="G431" s="25" t="s">
        <v>142</v>
      </c>
      <c r="H431" s="27">
        <v>1000</v>
      </c>
      <c r="I431" s="25" t="s">
        <v>143</v>
      </c>
      <c r="J431" s="25" t="s">
        <v>196</v>
      </c>
      <c r="K431" s="25" t="s">
        <v>314</v>
      </c>
      <c r="L431" s="25" t="s">
        <v>193</v>
      </c>
      <c r="M431" s="27" t="s">
        <v>147</v>
      </c>
      <c r="N431" s="28" t="s">
        <v>314</v>
      </c>
    </row>
    <row r="432" spans="1:14" ht="15" customHeight="1" x14ac:dyDescent="0.3">
      <c r="A432" s="21" t="s">
        <v>311</v>
      </c>
      <c r="B432" s="21" t="s">
        <v>321</v>
      </c>
      <c r="C432" s="21" t="s">
        <v>322</v>
      </c>
      <c r="D432" s="21" t="s">
        <v>195</v>
      </c>
      <c r="E432" s="21" t="s">
        <v>141</v>
      </c>
      <c r="F432" s="22">
        <v>-551</v>
      </c>
      <c r="G432" s="21" t="s">
        <v>142</v>
      </c>
      <c r="H432" s="23">
        <v>1000</v>
      </c>
      <c r="I432" s="21" t="s">
        <v>143</v>
      </c>
      <c r="J432" s="21" t="s">
        <v>196</v>
      </c>
      <c r="K432" s="21" t="s">
        <v>314</v>
      </c>
      <c r="L432" s="21" t="s">
        <v>193</v>
      </c>
      <c r="M432" s="23" t="s">
        <v>147</v>
      </c>
      <c r="N432" s="24" t="s">
        <v>314</v>
      </c>
    </row>
    <row r="433" spans="1:14" ht="15" customHeight="1" x14ac:dyDescent="0.3">
      <c r="A433" s="25" t="s">
        <v>311</v>
      </c>
      <c r="B433" s="25" t="s">
        <v>360</v>
      </c>
      <c r="C433" s="25" t="s">
        <v>361</v>
      </c>
      <c r="D433" s="25" t="s">
        <v>195</v>
      </c>
      <c r="E433" s="25" t="s">
        <v>141</v>
      </c>
      <c r="F433" s="26">
        <v>238</v>
      </c>
      <c r="G433" s="25" t="s">
        <v>142</v>
      </c>
      <c r="H433" s="27">
        <v>1000</v>
      </c>
      <c r="I433" s="25" t="s">
        <v>143</v>
      </c>
      <c r="J433" s="25" t="s">
        <v>196</v>
      </c>
      <c r="K433" s="25" t="s">
        <v>314</v>
      </c>
      <c r="L433" s="25" t="s">
        <v>193</v>
      </c>
      <c r="M433" s="27" t="s">
        <v>147</v>
      </c>
      <c r="N433" s="28" t="s">
        <v>314</v>
      </c>
    </row>
    <row r="434" spans="1:14" ht="15" customHeight="1" x14ac:dyDescent="0.3">
      <c r="A434" s="21" t="s">
        <v>311</v>
      </c>
      <c r="B434" s="21" t="s">
        <v>323</v>
      </c>
      <c r="C434" s="21" t="s">
        <v>324</v>
      </c>
      <c r="D434" s="21" t="s">
        <v>195</v>
      </c>
      <c r="E434" s="21" t="s">
        <v>141</v>
      </c>
      <c r="F434" s="22">
        <v>123692</v>
      </c>
      <c r="G434" s="21" t="s">
        <v>142</v>
      </c>
      <c r="H434" s="23">
        <v>1000</v>
      </c>
      <c r="I434" s="21" t="s">
        <v>143</v>
      </c>
      <c r="J434" s="21" t="s">
        <v>196</v>
      </c>
      <c r="K434" s="21" t="s">
        <v>314</v>
      </c>
      <c r="L434" s="21" t="s">
        <v>193</v>
      </c>
      <c r="M434" s="23" t="s">
        <v>147</v>
      </c>
      <c r="N434" s="24" t="s">
        <v>314</v>
      </c>
    </row>
    <row r="435" spans="1:14" ht="15" customHeight="1" x14ac:dyDescent="0.3">
      <c r="A435" s="25" t="s">
        <v>311</v>
      </c>
      <c r="B435" s="25" t="s">
        <v>325</v>
      </c>
      <c r="C435" s="25" t="s">
        <v>227</v>
      </c>
      <c r="D435" s="25" t="s">
        <v>195</v>
      </c>
      <c r="E435" s="25" t="s">
        <v>141</v>
      </c>
      <c r="F435" s="26">
        <v>-39917</v>
      </c>
      <c r="G435" s="25" t="s">
        <v>142</v>
      </c>
      <c r="H435" s="27">
        <v>1000</v>
      </c>
      <c r="I435" s="25" t="s">
        <v>143</v>
      </c>
      <c r="J435" s="25" t="s">
        <v>196</v>
      </c>
      <c r="K435" s="25" t="s">
        <v>314</v>
      </c>
      <c r="L435" s="25" t="s">
        <v>193</v>
      </c>
      <c r="M435" s="27" t="s">
        <v>147</v>
      </c>
      <c r="N435" s="28" t="s">
        <v>314</v>
      </c>
    </row>
    <row r="436" spans="1:14" ht="15" customHeight="1" x14ac:dyDescent="0.3">
      <c r="A436" s="21" t="s">
        <v>311</v>
      </c>
      <c r="B436" s="21" t="s">
        <v>326</v>
      </c>
      <c r="C436" s="21" t="s">
        <v>229</v>
      </c>
      <c r="D436" s="21" t="s">
        <v>195</v>
      </c>
      <c r="E436" s="21" t="s">
        <v>141</v>
      </c>
      <c r="F436" s="22">
        <v>-26231</v>
      </c>
      <c r="G436" s="21" t="s">
        <v>142</v>
      </c>
      <c r="H436" s="23">
        <v>1000</v>
      </c>
      <c r="I436" s="21" t="s">
        <v>143</v>
      </c>
      <c r="J436" s="21" t="s">
        <v>196</v>
      </c>
      <c r="K436" s="21" t="s">
        <v>314</v>
      </c>
      <c r="L436" s="21" t="s">
        <v>193</v>
      </c>
      <c r="M436" s="23" t="s">
        <v>147</v>
      </c>
      <c r="N436" s="24" t="s">
        <v>314</v>
      </c>
    </row>
    <row r="437" spans="1:14" ht="15" customHeight="1" x14ac:dyDescent="0.3">
      <c r="A437" s="25" t="s">
        <v>311</v>
      </c>
      <c r="B437" s="25" t="s">
        <v>327</v>
      </c>
      <c r="C437" s="25" t="s">
        <v>231</v>
      </c>
      <c r="D437" s="25" t="s">
        <v>195</v>
      </c>
      <c r="E437" s="25" t="s">
        <v>141</v>
      </c>
      <c r="F437" s="26">
        <v>-7570</v>
      </c>
      <c r="G437" s="25" t="s">
        <v>142</v>
      </c>
      <c r="H437" s="27">
        <v>1000</v>
      </c>
      <c r="I437" s="25" t="s">
        <v>143</v>
      </c>
      <c r="J437" s="25" t="s">
        <v>196</v>
      </c>
      <c r="K437" s="25" t="s">
        <v>314</v>
      </c>
      <c r="L437" s="25" t="s">
        <v>193</v>
      </c>
      <c r="M437" s="27" t="s">
        <v>147</v>
      </c>
      <c r="N437" s="28" t="s">
        <v>314</v>
      </c>
    </row>
    <row r="438" spans="1:14" ht="15" customHeight="1" x14ac:dyDescent="0.3">
      <c r="A438" s="21" t="s">
        <v>311</v>
      </c>
      <c r="B438" s="21" t="s">
        <v>328</v>
      </c>
      <c r="C438" s="21" t="s">
        <v>247</v>
      </c>
      <c r="D438" s="21" t="s">
        <v>195</v>
      </c>
      <c r="E438" s="21" t="s">
        <v>141</v>
      </c>
      <c r="F438" s="22">
        <v>3934</v>
      </c>
      <c r="G438" s="21" t="s">
        <v>142</v>
      </c>
      <c r="H438" s="23">
        <v>1000</v>
      </c>
      <c r="I438" s="21" t="s">
        <v>143</v>
      </c>
      <c r="J438" s="21" t="s">
        <v>196</v>
      </c>
      <c r="K438" s="21" t="s">
        <v>314</v>
      </c>
      <c r="L438" s="21" t="s">
        <v>193</v>
      </c>
      <c r="M438" s="23" t="s">
        <v>147</v>
      </c>
      <c r="N438" s="24" t="s">
        <v>314</v>
      </c>
    </row>
    <row r="439" spans="1:14" ht="15" customHeight="1" x14ac:dyDescent="0.3">
      <c r="A439" s="25" t="s">
        <v>311</v>
      </c>
      <c r="B439" s="25" t="s">
        <v>329</v>
      </c>
      <c r="C439" s="25" t="s">
        <v>251</v>
      </c>
      <c r="D439" s="25" t="s">
        <v>195</v>
      </c>
      <c r="E439" s="25" t="s">
        <v>141</v>
      </c>
      <c r="F439" s="26">
        <v>16850</v>
      </c>
      <c r="G439" s="25" t="s">
        <v>142</v>
      </c>
      <c r="H439" s="27">
        <v>1000</v>
      </c>
      <c r="I439" s="25" t="s">
        <v>143</v>
      </c>
      <c r="J439" s="25" t="s">
        <v>196</v>
      </c>
      <c r="K439" s="25" t="s">
        <v>314</v>
      </c>
      <c r="L439" s="25" t="s">
        <v>193</v>
      </c>
      <c r="M439" s="27" t="s">
        <v>147</v>
      </c>
      <c r="N439" s="28" t="s">
        <v>314</v>
      </c>
    </row>
    <row r="440" spans="1:14" ht="15" customHeight="1" x14ac:dyDescent="0.3">
      <c r="A440" s="21" t="s">
        <v>311</v>
      </c>
      <c r="B440" s="21" t="s">
        <v>330</v>
      </c>
      <c r="C440" s="21" t="s">
        <v>331</v>
      </c>
      <c r="D440" s="21" t="s">
        <v>195</v>
      </c>
      <c r="E440" s="21" t="s">
        <v>141</v>
      </c>
      <c r="F440" s="22">
        <v>5163</v>
      </c>
      <c r="G440" s="21" t="s">
        <v>142</v>
      </c>
      <c r="H440" s="23">
        <v>1000</v>
      </c>
      <c r="I440" s="21" t="s">
        <v>143</v>
      </c>
      <c r="J440" s="21" t="s">
        <v>196</v>
      </c>
      <c r="K440" s="21" t="s">
        <v>314</v>
      </c>
      <c r="L440" s="21" t="s">
        <v>193</v>
      </c>
      <c r="M440" s="23" t="s">
        <v>147</v>
      </c>
      <c r="N440" s="24" t="s">
        <v>314</v>
      </c>
    </row>
    <row r="441" spans="1:14" ht="15" customHeight="1" x14ac:dyDescent="0.3">
      <c r="A441" s="25" t="s">
        <v>311</v>
      </c>
      <c r="B441" s="25" t="s">
        <v>332</v>
      </c>
      <c r="C441" s="25" t="s">
        <v>333</v>
      </c>
      <c r="D441" s="25" t="s">
        <v>195</v>
      </c>
      <c r="E441" s="25" t="s">
        <v>141</v>
      </c>
      <c r="F441" s="26">
        <v>285513</v>
      </c>
      <c r="G441" s="25" t="s">
        <v>142</v>
      </c>
      <c r="H441" s="27">
        <v>1000</v>
      </c>
      <c r="I441" s="25" t="s">
        <v>143</v>
      </c>
      <c r="J441" s="25" t="s">
        <v>196</v>
      </c>
      <c r="K441" s="25" t="s">
        <v>314</v>
      </c>
      <c r="L441" s="25" t="s">
        <v>193</v>
      </c>
      <c r="M441" s="27" t="s">
        <v>147</v>
      </c>
      <c r="N441" s="28" t="s">
        <v>314</v>
      </c>
    </row>
    <row r="442" spans="1:14" ht="15" customHeight="1" x14ac:dyDescent="0.3">
      <c r="A442" s="21" t="s">
        <v>311</v>
      </c>
      <c r="B442" s="21" t="s">
        <v>334</v>
      </c>
      <c r="C442" s="21" t="s">
        <v>335</v>
      </c>
      <c r="D442" s="21" t="s">
        <v>195</v>
      </c>
      <c r="E442" s="21" t="s">
        <v>141</v>
      </c>
      <c r="F442" s="22">
        <v>-193300</v>
      </c>
      <c r="G442" s="21" t="s">
        <v>142</v>
      </c>
      <c r="H442" s="23">
        <v>1000</v>
      </c>
      <c r="I442" s="21" t="s">
        <v>143</v>
      </c>
      <c r="J442" s="21" t="s">
        <v>196</v>
      </c>
      <c r="K442" s="21" t="s">
        <v>314</v>
      </c>
      <c r="L442" s="21" t="s">
        <v>193</v>
      </c>
      <c r="M442" s="23" t="s">
        <v>147</v>
      </c>
      <c r="N442" s="24" t="s">
        <v>314</v>
      </c>
    </row>
    <row r="443" spans="1:14" ht="15" customHeight="1" x14ac:dyDescent="0.3">
      <c r="A443" s="25" t="s">
        <v>311</v>
      </c>
      <c r="B443" s="25" t="s">
        <v>336</v>
      </c>
      <c r="C443" s="25" t="s">
        <v>337</v>
      </c>
      <c r="D443" s="25" t="s">
        <v>195</v>
      </c>
      <c r="E443" s="25" t="s">
        <v>141</v>
      </c>
      <c r="F443" s="26">
        <v>3705</v>
      </c>
      <c r="G443" s="25" t="s">
        <v>142</v>
      </c>
      <c r="H443" s="27">
        <v>1000</v>
      </c>
      <c r="I443" s="25" t="s">
        <v>143</v>
      </c>
      <c r="J443" s="25" t="s">
        <v>196</v>
      </c>
      <c r="K443" s="25" t="s">
        <v>314</v>
      </c>
      <c r="L443" s="25" t="s">
        <v>193</v>
      </c>
      <c r="M443" s="27" t="s">
        <v>147</v>
      </c>
      <c r="N443" s="28" t="s">
        <v>314</v>
      </c>
    </row>
    <row r="444" spans="1:14" ht="15" customHeight="1" x14ac:dyDescent="0.3">
      <c r="A444" s="21" t="s">
        <v>311</v>
      </c>
      <c r="B444" s="21" t="s">
        <v>338</v>
      </c>
      <c r="C444" s="21" t="s">
        <v>339</v>
      </c>
      <c r="D444" s="21" t="s">
        <v>195</v>
      </c>
      <c r="E444" s="21" t="s">
        <v>141</v>
      </c>
      <c r="F444" s="22">
        <v>-9024</v>
      </c>
      <c r="G444" s="21" t="s">
        <v>142</v>
      </c>
      <c r="H444" s="23">
        <v>1000</v>
      </c>
      <c r="I444" s="21" t="s">
        <v>143</v>
      </c>
      <c r="J444" s="21" t="s">
        <v>196</v>
      </c>
      <c r="K444" s="21" t="s">
        <v>314</v>
      </c>
      <c r="L444" s="21" t="s">
        <v>193</v>
      </c>
      <c r="M444" s="23" t="s">
        <v>147</v>
      </c>
      <c r="N444" s="24" t="s">
        <v>314</v>
      </c>
    </row>
    <row r="445" spans="1:14" ht="15" customHeight="1" x14ac:dyDescent="0.3">
      <c r="A445" s="25" t="s">
        <v>311</v>
      </c>
      <c r="B445" s="25" t="s">
        <v>340</v>
      </c>
      <c r="C445" s="25" t="s">
        <v>341</v>
      </c>
      <c r="D445" s="25" t="s">
        <v>195</v>
      </c>
      <c r="E445" s="25" t="s">
        <v>141</v>
      </c>
      <c r="F445" s="26">
        <v>-12116</v>
      </c>
      <c r="G445" s="25" t="s">
        <v>142</v>
      </c>
      <c r="H445" s="27">
        <v>1000</v>
      </c>
      <c r="I445" s="25" t="s">
        <v>143</v>
      </c>
      <c r="J445" s="25" t="s">
        <v>196</v>
      </c>
      <c r="K445" s="25" t="s">
        <v>314</v>
      </c>
      <c r="L445" s="25" t="s">
        <v>193</v>
      </c>
      <c r="M445" s="27" t="s">
        <v>147</v>
      </c>
      <c r="N445" s="28" t="s">
        <v>314</v>
      </c>
    </row>
    <row r="446" spans="1:14" ht="15" customHeight="1" x14ac:dyDescent="0.3">
      <c r="A446" s="21" t="s">
        <v>311</v>
      </c>
      <c r="B446" s="21" t="s">
        <v>342</v>
      </c>
      <c r="C446" s="21" t="s">
        <v>343</v>
      </c>
      <c r="D446" s="21" t="s">
        <v>195</v>
      </c>
      <c r="E446" s="21" t="s">
        <v>141</v>
      </c>
      <c r="F446" s="22">
        <v>-6595</v>
      </c>
      <c r="G446" s="21" t="s">
        <v>142</v>
      </c>
      <c r="H446" s="23">
        <v>1000</v>
      </c>
      <c r="I446" s="21" t="s">
        <v>143</v>
      </c>
      <c r="J446" s="21" t="s">
        <v>196</v>
      </c>
      <c r="K446" s="21" t="s">
        <v>314</v>
      </c>
      <c r="L446" s="21" t="s">
        <v>193</v>
      </c>
      <c r="M446" s="23" t="s">
        <v>147</v>
      </c>
      <c r="N446" s="24" t="s">
        <v>314</v>
      </c>
    </row>
    <row r="447" spans="1:14" ht="15" customHeight="1" x14ac:dyDescent="0.3">
      <c r="A447" s="25" t="s">
        <v>311</v>
      </c>
      <c r="B447" s="25" t="s">
        <v>346</v>
      </c>
      <c r="C447" s="25" t="s">
        <v>347</v>
      </c>
      <c r="D447" s="25" t="s">
        <v>195</v>
      </c>
      <c r="E447" s="25" t="s">
        <v>141</v>
      </c>
      <c r="F447" s="26">
        <v>-217330</v>
      </c>
      <c r="G447" s="25" t="s">
        <v>142</v>
      </c>
      <c r="H447" s="27">
        <v>1000</v>
      </c>
      <c r="I447" s="25" t="s">
        <v>143</v>
      </c>
      <c r="J447" s="25" t="s">
        <v>196</v>
      </c>
      <c r="K447" s="25" t="s">
        <v>314</v>
      </c>
      <c r="L447" s="25" t="s">
        <v>193</v>
      </c>
      <c r="M447" s="27" t="s">
        <v>147</v>
      </c>
      <c r="N447" s="28" t="s">
        <v>314</v>
      </c>
    </row>
    <row r="448" spans="1:14" ht="15" customHeight="1" x14ac:dyDescent="0.3">
      <c r="A448" s="21" t="s">
        <v>311</v>
      </c>
      <c r="B448" s="21" t="s">
        <v>348</v>
      </c>
      <c r="C448" s="21" t="s">
        <v>349</v>
      </c>
      <c r="D448" s="21" t="s">
        <v>195</v>
      </c>
      <c r="E448" s="21" t="s">
        <v>141</v>
      </c>
      <c r="F448" s="22">
        <v>19356</v>
      </c>
      <c r="G448" s="21" t="s">
        <v>142</v>
      </c>
      <c r="H448" s="23">
        <v>1000</v>
      </c>
      <c r="I448" s="21" t="s">
        <v>143</v>
      </c>
      <c r="J448" s="21" t="s">
        <v>196</v>
      </c>
      <c r="K448" s="21" t="s">
        <v>314</v>
      </c>
      <c r="L448" s="21" t="s">
        <v>193</v>
      </c>
      <c r="M448" s="23" t="s">
        <v>147</v>
      </c>
      <c r="N448" s="24" t="s">
        <v>314</v>
      </c>
    </row>
    <row r="449" spans="1:14" ht="15" customHeight="1" x14ac:dyDescent="0.3">
      <c r="A449" s="25" t="s">
        <v>311</v>
      </c>
      <c r="B449" s="25" t="s">
        <v>350</v>
      </c>
      <c r="C449" s="25" t="s">
        <v>351</v>
      </c>
      <c r="D449" s="25" t="s">
        <v>195</v>
      </c>
      <c r="E449" s="25" t="s">
        <v>141</v>
      </c>
      <c r="F449" s="26">
        <v>-49358</v>
      </c>
      <c r="G449" s="25" t="s">
        <v>142</v>
      </c>
      <c r="H449" s="27">
        <v>1000</v>
      </c>
      <c r="I449" s="25" t="s">
        <v>143</v>
      </c>
      <c r="J449" s="25" t="s">
        <v>196</v>
      </c>
      <c r="K449" s="25" t="s">
        <v>314</v>
      </c>
      <c r="L449" s="25" t="s">
        <v>193</v>
      </c>
      <c r="M449" s="27" t="s">
        <v>147</v>
      </c>
      <c r="N449" s="28" t="s">
        <v>314</v>
      </c>
    </row>
    <row r="450" spans="1:14" ht="15" customHeight="1" x14ac:dyDescent="0.3">
      <c r="A450" s="21" t="s">
        <v>311</v>
      </c>
      <c r="B450" s="21" t="s">
        <v>352</v>
      </c>
      <c r="C450" s="21" t="s">
        <v>353</v>
      </c>
      <c r="D450" s="21" t="s">
        <v>195</v>
      </c>
      <c r="E450" s="21" t="s">
        <v>141</v>
      </c>
      <c r="F450" s="22">
        <v>-30002</v>
      </c>
      <c r="G450" s="21" t="s">
        <v>142</v>
      </c>
      <c r="H450" s="23">
        <v>1000</v>
      </c>
      <c r="I450" s="21" t="s">
        <v>143</v>
      </c>
      <c r="J450" s="21" t="s">
        <v>196</v>
      </c>
      <c r="K450" s="21" t="s">
        <v>314</v>
      </c>
      <c r="L450" s="21" t="s">
        <v>193</v>
      </c>
      <c r="M450" s="23" t="s">
        <v>147</v>
      </c>
      <c r="N450" s="24" t="s">
        <v>314</v>
      </c>
    </row>
    <row r="451" spans="1:14" ht="15" customHeight="1" x14ac:dyDescent="0.3">
      <c r="A451" s="25" t="s">
        <v>311</v>
      </c>
      <c r="B451" s="25" t="s">
        <v>354</v>
      </c>
      <c r="C451" s="25" t="s">
        <v>355</v>
      </c>
      <c r="D451" s="25" t="s">
        <v>195</v>
      </c>
      <c r="E451" s="25" t="s">
        <v>141</v>
      </c>
      <c r="F451" s="26">
        <v>38181</v>
      </c>
      <c r="G451" s="25" t="s">
        <v>142</v>
      </c>
      <c r="H451" s="27">
        <v>1000</v>
      </c>
      <c r="I451" s="25" t="s">
        <v>143</v>
      </c>
      <c r="J451" s="25" t="s">
        <v>196</v>
      </c>
      <c r="K451" s="25" t="s">
        <v>314</v>
      </c>
      <c r="L451" s="25" t="s">
        <v>193</v>
      </c>
      <c r="M451" s="27" t="s">
        <v>147</v>
      </c>
      <c r="N451" s="28" t="s">
        <v>314</v>
      </c>
    </row>
    <row r="452" spans="1:14" ht="15" customHeight="1" x14ac:dyDescent="0.3">
      <c r="A452" s="21" t="s">
        <v>311</v>
      </c>
      <c r="B452" s="21" t="s">
        <v>356</v>
      </c>
      <c r="C452" s="21" t="s">
        <v>357</v>
      </c>
      <c r="D452" s="21" t="s">
        <v>195</v>
      </c>
      <c r="E452" s="21" t="s">
        <v>141</v>
      </c>
      <c r="F452" s="22">
        <v>750345</v>
      </c>
      <c r="G452" s="21" t="s">
        <v>142</v>
      </c>
      <c r="H452" s="23">
        <v>1000</v>
      </c>
      <c r="I452" s="21" t="s">
        <v>143</v>
      </c>
      <c r="J452" s="21" t="s">
        <v>196</v>
      </c>
      <c r="K452" s="21" t="s">
        <v>314</v>
      </c>
      <c r="L452" s="21" t="s">
        <v>193</v>
      </c>
      <c r="M452" s="23" t="s">
        <v>147</v>
      </c>
      <c r="N452" s="24" t="s">
        <v>314</v>
      </c>
    </row>
    <row r="453" spans="1:14" ht="15" customHeight="1" x14ac:dyDescent="0.3">
      <c r="A453" s="25" t="s">
        <v>311</v>
      </c>
      <c r="B453" s="25" t="s">
        <v>358</v>
      </c>
      <c r="C453" s="25" t="s">
        <v>359</v>
      </c>
      <c r="D453" s="25" t="s">
        <v>195</v>
      </c>
      <c r="E453" s="25" t="s">
        <v>141</v>
      </c>
      <c r="F453" s="26">
        <v>788526</v>
      </c>
      <c r="G453" s="25" t="s">
        <v>142</v>
      </c>
      <c r="H453" s="27">
        <v>1000</v>
      </c>
      <c r="I453" s="25" t="s">
        <v>143</v>
      </c>
      <c r="J453" s="25" t="s">
        <v>196</v>
      </c>
      <c r="K453" s="25" t="s">
        <v>314</v>
      </c>
      <c r="L453" s="25" t="s">
        <v>193</v>
      </c>
      <c r="M453" s="27" t="s">
        <v>147</v>
      </c>
      <c r="N453" s="28" t="s">
        <v>314</v>
      </c>
    </row>
    <row r="454" spans="1:14" ht="15" customHeight="1" x14ac:dyDescent="0.3">
      <c r="A454" s="21" t="s">
        <v>311</v>
      </c>
      <c r="B454" s="21" t="s">
        <v>312</v>
      </c>
      <c r="C454" s="21" t="s">
        <v>313</v>
      </c>
      <c r="D454" s="21" t="s">
        <v>191</v>
      </c>
      <c r="E454" s="21" t="s">
        <v>141</v>
      </c>
      <c r="F454" s="22">
        <v>16067</v>
      </c>
      <c r="G454" s="21" t="s">
        <v>142</v>
      </c>
      <c r="H454" s="23">
        <v>1000</v>
      </c>
      <c r="I454" s="21" t="s">
        <v>143</v>
      </c>
      <c r="J454" s="21" t="s">
        <v>192</v>
      </c>
      <c r="K454" s="21" t="s">
        <v>314</v>
      </c>
      <c r="L454" s="21" t="s">
        <v>193</v>
      </c>
      <c r="M454" s="23" t="s">
        <v>147</v>
      </c>
      <c r="N454" s="24" t="s">
        <v>314</v>
      </c>
    </row>
    <row r="455" spans="1:14" ht="15" customHeight="1" x14ac:dyDescent="0.3">
      <c r="A455" s="25" t="s">
        <v>311</v>
      </c>
      <c r="B455" s="25" t="s">
        <v>317</v>
      </c>
      <c r="C455" s="25" t="s">
        <v>318</v>
      </c>
      <c r="D455" s="25" t="s">
        <v>191</v>
      </c>
      <c r="E455" s="25" t="s">
        <v>141</v>
      </c>
      <c r="F455" s="26">
        <v>95221</v>
      </c>
      <c r="G455" s="25" t="s">
        <v>142</v>
      </c>
      <c r="H455" s="27">
        <v>1000</v>
      </c>
      <c r="I455" s="25" t="s">
        <v>143</v>
      </c>
      <c r="J455" s="25" t="s">
        <v>192</v>
      </c>
      <c r="K455" s="25" t="s">
        <v>314</v>
      </c>
      <c r="L455" s="25" t="s">
        <v>193</v>
      </c>
      <c r="M455" s="27" t="s">
        <v>147</v>
      </c>
      <c r="N455" s="28" t="s">
        <v>314</v>
      </c>
    </row>
    <row r="456" spans="1:14" ht="15" customHeight="1" x14ac:dyDescent="0.3">
      <c r="A456" s="21" t="s">
        <v>311</v>
      </c>
      <c r="B456" s="21" t="s">
        <v>319</v>
      </c>
      <c r="C456" s="21" t="s">
        <v>320</v>
      </c>
      <c r="D456" s="21" t="s">
        <v>191</v>
      </c>
      <c r="E456" s="21" t="s">
        <v>141</v>
      </c>
      <c r="F456" s="22">
        <v>7095</v>
      </c>
      <c r="G456" s="21" t="s">
        <v>142</v>
      </c>
      <c r="H456" s="23">
        <v>1000</v>
      </c>
      <c r="I456" s="21" t="s">
        <v>143</v>
      </c>
      <c r="J456" s="21" t="s">
        <v>192</v>
      </c>
      <c r="K456" s="21" t="s">
        <v>314</v>
      </c>
      <c r="L456" s="21" t="s">
        <v>193</v>
      </c>
      <c r="M456" s="23" t="s">
        <v>147</v>
      </c>
      <c r="N456" s="24" t="s">
        <v>314</v>
      </c>
    </row>
    <row r="457" spans="1:14" ht="15" customHeight="1" x14ac:dyDescent="0.3">
      <c r="A457" s="25" t="s">
        <v>311</v>
      </c>
      <c r="B457" s="25" t="s">
        <v>360</v>
      </c>
      <c r="C457" s="25" t="s">
        <v>361</v>
      </c>
      <c r="D457" s="25" t="s">
        <v>191</v>
      </c>
      <c r="E457" s="25" t="s">
        <v>141</v>
      </c>
      <c r="F457" s="26">
        <v>333</v>
      </c>
      <c r="G457" s="25" t="s">
        <v>142</v>
      </c>
      <c r="H457" s="27">
        <v>1000</v>
      </c>
      <c r="I457" s="25" t="s">
        <v>143</v>
      </c>
      <c r="J457" s="25" t="s">
        <v>192</v>
      </c>
      <c r="K457" s="25" t="s">
        <v>314</v>
      </c>
      <c r="L457" s="25" t="s">
        <v>193</v>
      </c>
      <c r="M457" s="27" t="s">
        <v>147</v>
      </c>
      <c r="N457" s="28" t="s">
        <v>314</v>
      </c>
    </row>
    <row r="458" spans="1:14" ht="15" customHeight="1" x14ac:dyDescent="0.3">
      <c r="A458" s="21" t="s">
        <v>311</v>
      </c>
      <c r="B458" s="21" t="s">
        <v>323</v>
      </c>
      <c r="C458" s="21" t="s">
        <v>324</v>
      </c>
      <c r="D458" s="21" t="s">
        <v>191</v>
      </c>
      <c r="E458" s="21" t="s">
        <v>141</v>
      </c>
      <c r="F458" s="22">
        <v>91642</v>
      </c>
      <c r="G458" s="21" t="s">
        <v>142</v>
      </c>
      <c r="H458" s="23">
        <v>1000</v>
      </c>
      <c r="I458" s="21" t="s">
        <v>143</v>
      </c>
      <c r="J458" s="21" t="s">
        <v>192</v>
      </c>
      <c r="K458" s="21" t="s">
        <v>314</v>
      </c>
      <c r="L458" s="21" t="s">
        <v>193</v>
      </c>
      <c r="M458" s="23" t="s">
        <v>147</v>
      </c>
      <c r="N458" s="24" t="s">
        <v>314</v>
      </c>
    </row>
    <row r="459" spans="1:14" ht="15" customHeight="1" x14ac:dyDescent="0.3">
      <c r="A459" s="25" t="s">
        <v>311</v>
      </c>
      <c r="B459" s="25" t="s">
        <v>325</v>
      </c>
      <c r="C459" s="25" t="s">
        <v>227</v>
      </c>
      <c r="D459" s="25" t="s">
        <v>191</v>
      </c>
      <c r="E459" s="25" t="s">
        <v>141</v>
      </c>
      <c r="F459" s="26">
        <v>-42247</v>
      </c>
      <c r="G459" s="25" t="s">
        <v>142</v>
      </c>
      <c r="H459" s="27">
        <v>1000</v>
      </c>
      <c r="I459" s="25" t="s">
        <v>143</v>
      </c>
      <c r="J459" s="25" t="s">
        <v>192</v>
      </c>
      <c r="K459" s="25" t="s">
        <v>314</v>
      </c>
      <c r="L459" s="25" t="s">
        <v>193</v>
      </c>
      <c r="M459" s="27" t="s">
        <v>147</v>
      </c>
      <c r="N459" s="28" t="s">
        <v>314</v>
      </c>
    </row>
    <row r="460" spans="1:14" ht="15" customHeight="1" x14ac:dyDescent="0.3">
      <c r="A460" s="21" t="s">
        <v>311</v>
      </c>
      <c r="B460" s="21" t="s">
        <v>326</v>
      </c>
      <c r="C460" s="21" t="s">
        <v>229</v>
      </c>
      <c r="D460" s="21" t="s">
        <v>191</v>
      </c>
      <c r="E460" s="21" t="s">
        <v>141</v>
      </c>
      <c r="F460" s="22">
        <v>-18890</v>
      </c>
      <c r="G460" s="21" t="s">
        <v>142</v>
      </c>
      <c r="H460" s="23">
        <v>1000</v>
      </c>
      <c r="I460" s="21" t="s">
        <v>143</v>
      </c>
      <c r="J460" s="21" t="s">
        <v>192</v>
      </c>
      <c r="K460" s="21" t="s">
        <v>314</v>
      </c>
      <c r="L460" s="21" t="s">
        <v>193</v>
      </c>
      <c r="M460" s="23" t="s">
        <v>147</v>
      </c>
      <c r="N460" s="24" t="s">
        <v>314</v>
      </c>
    </row>
    <row r="461" spans="1:14" ht="15" customHeight="1" x14ac:dyDescent="0.3">
      <c r="A461" s="25" t="s">
        <v>311</v>
      </c>
      <c r="B461" s="25" t="s">
        <v>327</v>
      </c>
      <c r="C461" s="25" t="s">
        <v>231</v>
      </c>
      <c r="D461" s="25" t="s">
        <v>191</v>
      </c>
      <c r="E461" s="25" t="s">
        <v>141</v>
      </c>
      <c r="F461" s="26">
        <v>-48</v>
      </c>
      <c r="G461" s="25" t="s">
        <v>142</v>
      </c>
      <c r="H461" s="27">
        <v>1000</v>
      </c>
      <c r="I461" s="25" t="s">
        <v>143</v>
      </c>
      <c r="J461" s="25" t="s">
        <v>192</v>
      </c>
      <c r="K461" s="25" t="s">
        <v>314</v>
      </c>
      <c r="L461" s="25" t="s">
        <v>193</v>
      </c>
      <c r="M461" s="27" t="s">
        <v>147</v>
      </c>
      <c r="N461" s="28" t="s">
        <v>314</v>
      </c>
    </row>
    <row r="462" spans="1:14" ht="15" customHeight="1" x14ac:dyDescent="0.3">
      <c r="A462" s="21" t="s">
        <v>311</v>
      </c>
      <c r="B462" s="21" t="s">
        <v>328</v>
      </c>
      <c r="C462" s="21" t="s">
        <v>247</v>
      </c>
      <c r="D462" s="21" t="s">
        <v>191</v>
      </c>
      <c r="E462" s="21" t="s">
        <v>141</v>
      </c>
      <c r="F462" s="22">
        <v>1261</v>
      </c>
      <c r="G462" s="21" t="s">
        <v>142</v>
      </c>
      <c r="H462" s="23">
        <v>1000</v>
      </c>
      <c r="I462" s="21" t="s">
        <v>143</v>
      </c>
      <c r="J462" s="21" t="s">
        <v>192</v>
      </c>
      <c r="K462" s="21" t="s">
        <v>314</v>
      </c>
      <c r="L462" s="21" t="s">
        <v>193</v>
      </c>
      <c r="M462" s="23" t="s">
        <v>147</v>
      </c>
      <c r="N462" s="24" t="s">
        <v>314</v>
      </c>
    </row>
    <row r="463" spans="1:14" ht="15" customHeight="1" x14ac:dyDescent="0.3">
      <c r="A463" s="25" t="s">
        <v>311</v>
      </c>
      <c r="B463" s="25" t="s">
        <v>329</v>
      </c>
      <c r="C463" s="25" t="s">
        <v>251</v>
      </c>
      <c r="D463" s="25" t="s">
        <v>191</v>
      </c>
      <c r="E463" s="25" t="s">
        <v>141</v>
      </c>
      <c r="F463" s="26">
        <v>3444</v>
      </c>
      <c r="G463" s="25" t="s">
        <v>142</v>
      </c>
      <c r="H463" s="27">
        <v>1000</v>
      </c>
      <c r="I463" s="25" t="s">
        <v>143</v>
      </c>
      <c r="J463" s="25" t="s">
        <v>192</v>
      </c>
      <c r="K463" s="25" t="s">
        <v>314</v>
      </c>
      <c r="L463" s="25" t="s">
        <v>193</v>
      </c>
      <c r="M463" s="27" t="s">
        <v>147</v>
      </c>
      <c r="N463" s="28" t="s">
        <v>314</v>
      </c>
    </row>
    <row r="464" spans="1:14" ht="15" customHeight="1" x14ac:dyDescent="0.3">
      <c r="A464" s="21" t="s">
        <v>311</v>
      </c>
      <c r="B464" s="21" t="s">
        <v>330</v>
      </c>
      <c r="C464" s="21" t="s">
        <v>331</v>
      </c>
      <c r="D464" s="21" t="s">
        <v>191</v>
      </c>
      <c r="E464" s="21" t="s">
        <v>141</v>
      </c>
      <c r="F464" s="22">
        <v>-264</v>
      </c>
      <c r="G464" s="21" t="s">
        <v>142</v>
      </c>
      <c r="H464" s="23">
        <v>1000</v>
      </c>
      <c r="I464" s="21" t="s">
        <v>143</v>
      </c>
      <c r="J464" s="21" t="s">
        <v>192</v>
      </c>
      <c r="K464" s="21" t="s">
        <v>314</v>
      </c>
      <c r="L464" s="21" t="s">
        <v>193</v>
      </c>
      <c r="M464" s="23" t="s">
        <v>147</v>
      </c>
      <c r="N464" s="24" t="s">
        <v>314</v>
      </c>
    </row>
    <row r="465" spans="1:14" ht="15" customHeight="1" x14ac:dyDescent="0.3">
      <c r="A465" s="25" t="s">
        <v>311</v>
      </c>
      <c r="B465" s="25" t="s">
        <v>332</v>
      </c>
      <c r="C465" s="25" t="s">
        <v>333</v>
      </c>
      <c r="D465" s="25" t="s">
        <v>191</v>
      </c>
      <c r="E465" s="25" t="s">
        <v>141</v>
      </c>
      <c r="F465" s="26">
        <v>153614</v>
      </c>
      <c r="G465" s="25" t="s">
        <v>142</v>
      </c>
      <c r="H465" s="27">
        <v>1000</v>
      </c>
      <c r="I465" s="25" t="s">
        <v>143</v>
      </c>
      <c r="J465" s="25" t="s">
        <v>192</v>
      </c>
      <c r="K465" s="25" t="s">
        <v>314</v>
      </c>
      <c r="L465" s="25" t="s">
        <v>193</v>
      </c>
      <c r="M465" s="27" t="s">
        <v>147</v>
      </c>
      <c r="N465" s="28" t="s">
        <v>314</v>
      </c>
    </row>
    <row r="466" spans="1:14" ht="15" customHeight="1" x14ac:dyDescent="0.3">
      <c r="A466" s="21" t="s">
        <v>311</v>
      </c>
      <c r="B466" s="21" t="s">
        <v>338</v>
      </c>
      <c r="C466" s="21" t="s">
        <v>339</v>
      </c>
      <c r="D466" s="21" t="s">
        <v>191</v>
      </c>
      <c r="E466" s="21" t="s">
        <v>141</v>
      </c>
      <c r="F466" s="22">
        <v>-10493</v>
      </c>
      <c r="G466" s="21" t="s">
        <v>142</v>
      </c>
      <c r="H466" s="23">
        <v>1000</v>
      </c>
      <c r="I466" s="21" t="s">
        <v>143</v>
      </c>
      <c r="J466" s="21" t="s">
        <v>192</v>
      </c>
      <c r="K466" s="21" t="s">
        <v>314</v>
      </c>
      <c r="L466" s="21" t="s">
        <v>193</v>
      </c>
      <c r="M466" s="23" t="s">
        <v>147</v>
      </c>
      <c r="N466" s="24" t="s">
        <v>314</v>
      </c>
    </row>
    <row r="467" spans="1:14" ht="15" customHeight="1" x14ac:dyDescent="0.3">
      <c r="A467" s="25" t="s">
        <v>311</v>
      </c>
      <c r="B467" s="25" t="s">
        <v>340</v>
      </c>
      <c r="C467" s="25" t="s">
        <v>341</v>
      </c>
      <c r="D467" s="25" t="s">
        <v>191</v>
      </c>
      <c r="E467" s="25" t="s">
        <v>141</v>
      </c>
      <c r="F467" s="26">
        <v>-3191</v>
      </c>
      <c r="G467" s="25" t="s">
        <v>142</v>
      </c>
      <c r="H467" s="27">
        <v>1000</v>
      </c>
      <c r="I467" s="25" t="s">
        <v>143</v>
      </c>
      <c r="J467" s="25" t="s">
        <v>192</v>
      </c>
      <c r="K467" s="25" t="s">
        <v>314</v>
      </c>
      <c r="L467" s="25" t="s">
        <v>193</v>
      </c>
      <c r="M467" s="27" t="s">
        <v>147</v>
      </c>
      <c r="N467" s="28" t="s">
        <v>314</v>
      </c>
    </row>
    <row r="468" spans="1:14" ht="15" customHeight="1" x14ac:dyDescent="0.3">
      <c r="A468" s="21" t="s">
        <v>311</v>
      </c>
      <c r="B468" s="21" t="s">
        <v>362</v>
      </c>
      <c r="C468" s="21" t="s">
        <v>363</v>
      </c>
      <c r="D468" s="21" t="s">
        <v>191</v>
      </c>
      <c r="E468" s="21" t="s">
        <v>141</v>
      </c>
      <c r="F468" s="22">
        <v>100</v>
      </c>
      <c r="G468" s="21" t="s">
        <v>142</v>
      </c>
      <c r="H468" s="23">
        <v>1000</v>
      </c>
      <c r="I468" s="21" t="s">
        <v>143</v>
      </c>
      <c r="J468" s="21" t="s">
        <v>192</v>
      </c>
      <c r="K468" s="21" t="s">
        <v>314</v>
      </c>
      <c r="L468" s="21" t="s">
        <v>193</v>
      </c>
      <c r="M468" s="23" t="s">
        <v>147</v>
      </c>
      <c r="N468" s="24" t="s">
        <v>314</v>
      </c>
    </row>
    <row r="469" spans="1:14" ht="15" customHeight="1" x14ac:dyDescent="0.3">
      <c r="A469" s="25" t="s">
        <v>311</v>
      </c>
      <c r="B469" s="25" t="s">
        <v>346</v>
      </c>
      <c r="C469" s="25" t="s">
        <v>347</v>
      </c>
      <c r="D469" s="25" t="s">
        <v>191</v>
      </c>
      <c r="E469" s="25" t="s">
        <v>141</v>
      </c>
      <c r="F469" s="26">
        <v>-13584</v>
      </c>
      <c r="G469" s="25" t="s">
        <v>142</v>
      </c>
      <c r="H469" s="27">
        <v>1000</v>
      </c>
      <c r="I469" s="25" t="s">
        <v>143</v>
      </c>
      <c r="J469" s="25" t="s">
        <v>192</v>
      </c>
      <c r="K469" s="25" t="s">
        <v>314</v>
      </c>
      <c r="L469" s="25" t="s">
        <v>193</v>
      </c>
      <c r="M469" s="27" t="s">
        <v>147</v>
      </c>
      <c r="N469" s="28" t="s">
        <v>314</v>
      </c>
    </row>
    <row r="470" spans="1:14" ht="15" customHeight="1" x14ac:dyDescent="0.3">
      <c r="A470" s="21" t="s">
        <v>311</v>
      </c>
      <c r="B470" s="21" t="s">
        <v>348</v>
      </c>
      <c r="C470" s="21" t="s">
        <v>349</v>
      </c>
      <c r="D470" s="21" t="s">
        <v>191</v>
      </c>
      <c r="E470" s="21" t="s">
        <v>141</v>
      </c>
      <c r="F470" s="22">
        <v>13617</v>
      </c>
      <c r="G470" s="21" t="s">
        <v>142</v>
      </c>
      <c r="H470" s="23">
        <v>1000</v>
      </c>
      <c r="I470" s="21" t="s">
        <v>143</v>
      </c>
      <c r="J470" s="21" t="s">
        <v>192</v>
      </c>
      <c r="K470" s="21" t="s">
        <v>314</v>
      </c>
      <c r="L470" s="21" t="s">
        <v>193</v>
      </c>
      <c r="M470" s="23" t="s">
        <v>147</v>
      </c>
      <c r="N470" s="24" t="s">
        <v>314</v>
      </c>
    </row>
    <row r="471" spans="1:14" ht="15" customHeight="1" x14ac:dyDescent="0.3">
      <c r="A471" s="25" t="s">
        <v>311</v>
      </c>
      <c r="B471" s="25" t="s">
        <v>350</v>
      </c>
      <c r="C471" s="25" t="s">
        <v>351</v>
      </c>
      <c r="D471" s="25" t="s">
        <v>191</v>
      </c>
      <c r="E471" s="25" t="s">
        <v>141</v>
      </c>
      <c r="F471" s="26">
        <v>-11482</v>
      </c>
      <c r="G471" s="25" t="s">
        <v>142</v>
      </c>
      <c r="H471" s="27">
        <v>1000</v>
      </c>
      <c r="I471" s="25" t="s">
        <v>143</v>
      </c>
      <c r="J471" s="25" t="s">
        <v>192</v>
      </c>
      <c r="K471" s="25" t="s">
        <v>314</v>
      </c>
      <c r="L471" s="25" t="s">
        <v>193</v>
      </c>
      <c r="M471" s="27" t="s">
        <v>147</v>
      </c>
      <c r="N471" s="28" t="s">
        <v>314</v>
      </c>
    </row>
    <row r="472" spans="1:14" ht="15" customHeight="1" x14ac:dyDescent="0.3">
      <c r="A472" s="21" t="s">
        <v>311</v>
      </c>
      <c r="B472" s="21" t="s">
        <v>352</v>
      </c>
      <c r="C472" s="21" t="s">
        <v>353</v>
      </c>
      <c r="D472" s="21" t="s">
        <v>191</v>
      </c>
      <c r="E472" s="21" t="s">
        <v>141</v>
      </c>
      <c r="F472" s="22">
        <v>2135</v>
      </c>
      <c r="G472" s="21" t="s">
        <v>142</v>
      </c>
      <c r="H472" s="23">
        <v>1000</v>
      </c>
      <c r="I472" s="21" t="s">
        <v>143</v>
      </c>
      <c r="J472" s="21" t="s">
        <v>192</v>
      </c>
      <c r="K472" s="21" t="s">
        <v>314</v>
      </c>
      <c r="L472" s="21" t="s">
        <v>193</v>
      </c>
      <c r="M472" s="23" t="s">
        <v>147</v>
      </c>
      <c r="N472" s="24" t="s">
        <v>314</v>
      </c>
    </row>
    <row r="473" spans="1:14" ht="15" customHeight="1" x14ac:dyDescent="0.3">
      <c r="A473" s="25" t="s">
        <v>311</v>
      </c>
      <c r="B473" s="25" t="s">
        <v>354</v>
      </c>
      <c r="C473" s="25" t="s">
        <v>355</v>
      </c>
      <c r="D473" s="25" t="s">
        <v>191</v>
      </c>
      <c r="E473" s="25" t="s">
        <v>141</v>
      </c>
      <c r="F473" s="26">
        <v>142165</v>
      </c>
      <c r="G473" s="25" t="s">
        <v>142</v>
      </c>
      <c r="H473" s="27">
        <v>1000</v>
      </c>
      <c r="I473" s="25" t="s">
        <v>143</v>
      </c>
      <c r="J473" s="25" t="s">
        <v>192</v>
      </c>
      <c r="K473" s="25" t="s">
        <v>314</v>
      </c>
      <c r="L473" s="25" t="s">
        <v>193</v>
      </c>
      <c r="M473" s="27" t="s">
        <v>147</v>
      </c>
      <c r="N473" s="28" t="s">
        <v>314</v>
      </c>
    </row>
    <row r="474" spans="1:14" ht="15" customHeight="1" x14ac:dyDescent="0.3">
      <c r="A474" s="21" t="s">
        <v>311</v>
      </c>
      <c r="B474" s="21" t="s">
        <v>356</v>
      </c>
      <c r="C474" s="21" t="s">
        <v>357</v>
      </c>
      <c r="D474" s="21" t="s">
        <v>191</v>
      </c>
      <c r="E474" s="21" t="s">
        <v>141</v>
      </c>
      <c r="F474" s="22">
        <v>608180</v>
      </c>
      <c r="G474" s="21" t="s">
        <v>142</v>
      </c>
      <c r="H474" s="23">
        <v>1000</v>
      </c>
      <c r="I474" s="21" t="s">
        <v>143</v>
      </c>
      <c r="J474" s="21" t="s">
        <v>192</v>
      </c>
      <c r="K474" s="21" t="s">
        <v>314</v>
      </c>
      <c r="L474" s="21" t="s">
        <v>193</v>
      </c>
      <c r="M474" s="23" t="s">
        <v>147</v>
      </c>
      <c r="N474" s="24" t="s">
        <v>314</v>
      </c>
    </row>
    <row r="475" spans="1:14" ht="15" customHeight="1" x14ac:dyDescent="0.3">
      <c r="A475" s="25" t="s">
        <v>311</v>
      </c>
      <c r="B475" s="25" t="s">
        <v>358</v>
      </c>
      <c r="C475" s="25" t="s">
        <v>359</v>
      </c>
      <c r="D475" s="25" t="s">
        <v>191</v>
      </c>
      <c r="E475" s="25" t="s">
        <v>141</v>
      </c>
      <c r="F475" s="26">
        <v>750345</v>
      </c>
      <c r="G475" s="25" t="s">
        <v>142</v>
      </c>
      <c r="H475" s="27">
        <v>1000</v>
      </c>
      <c r="I475" s="25" t="s">
        <v>143</v>
      </c>
      <c r="J475" s="25" t="s">
        <v>192</v>
      </c>
      <c r="K475" s="25" t="s">
        <v>314</v>
      </c>
      <c r="L475" s="25" t="s">
        <v>193</v>
      </c>
      <c r="M475" s="27" t="s">
        <v>147</v>
      </c>
      <c r="N475" s="28" t="s">
        <v>314</v>
      </c>
    </row>
    <row r="476" spans="1:14" ht="15" customHeight="1" x14ac:dyDescent="0.3">
      <c r="A476" s="21" t="s">
        <v>311</v>
      </c>
      <c r="B476" s="21" t="s">
        <v>312</v>
      </c>
      <c r="C476" s="21" t="s">
        <v>313</v>
      </c>
      <c r="D476" s="21" t="s">
        <v>189</v>
      </c>
      <c r="E476" s="21" t="s">
        <v>141</v>
      </c>
      <c r="F476" s="22">
        <v>-59574</v>
      </c>
      <c r="G476" s="21" t="s">
        <v>142</v>
      </c>
      <c r="H476" s="23">
        <v>1000</v>
      </c>
      <c r="I476" s="21" t="s">
        <v>143</v>
      </c>
      <c r="J476" s="21" t="s">
        <v>190</v>
      </c>
      <c r="K476" s="21" t="s">
        <v>314</v>
      </c>
      <c r="L476" s="21" t="s">
        <v>146</v>
      </c>
      <c r="M476" s="23" t="s">
        <v>147</v>
      </c>
      <c r="N476" s="24" t="s">
        <v>314</v>
      </c>
    </row>
    <row r="477" spans="1:14" ht="15" customHeight="1" x14ac:dyDescent="0.3">
      <c r="A477" s="25" t="s">
        <v>311</v>
      </c>
      <c r="B477" s="25" t="s">
        <v>317</v>
      </c>
      <c r="C477" s="25" t="s">
        <v>318</v>
      </c>
      <c r="D477" s="25" t="s">
        <v>189</v>
      </c>
      <c r="E477" s="25" t="s">
        <v>141</v>
      </c>
      <c r="F477" s="26">
        <v>73820</v>
      </c>
      <c r="G477" s="25" t="s">
        <v>142</v>
      </c>
      <c r="H477" s="27">
        <v>1000</v>
      </c>
      <c r="I477" s="25" t="s">
        <v>143</v>
      </c>
      <c r="J477" s="25" t="s">
        <v>190</v>
      </c>
      <c r="K477" s="25" t="s">
        <v>314</v>
      </c>
      <c r="L477" s="25" t="s">
        <v>146</v>
      </c>
      <c r="M477" s="27" t="s">
        <v>147</v>
      </c>
      <c r="N477" s="28" t="s">
        <v>314</v>
      </c>
    </row>
    <row r="478" spans="1:14" ht="15" customHeight="1" x14ac:dyDescent="0.3">
      <c r="A478" s="21" t="s">
        <v>311</v>
      </c>
      <c r="B478" s="21" t="s">
        <v>319</v>
      </c>
      <c r="C478" s="21" t="s">
        <v>320</v>
      </c>
      <c r="D478" s="21" t="s">
        <v>189</v>
      </c>
      <c r="E478" s="21" t="s">
        <v>141</v>
      </c>
      <c r="F478" s="22">
        <v>4870</v>
      </c>
      <c r="G478" s="21" t="s">
        <v>142</v>
      </c>
      <c r="H478" s="23">
        <v>1000</v>
      </c>
      <c r="I478" s="21" t="s">
        <v>143</v>
      </c>
      <c r="J478" s="21" t="s">
        <v>190</v>
      </c>
      <c r="K478" s="21" t="s">
        <v>314</v>
      </c>
      <c r="L478" s="21" t="s">
        <v>146</v>
      </c>
      <c r="M478" s="23" t="s">
        <v>147</v>
      </c>
      <c r="N478" s="24" t="s">
        <v>314</v>
      </c>
    </row>
    <row r="479" spans="1:14" ht="15" customHeight="1" x14ac:dyDescent="0.3">
      <c r="A479" s="25" t="s">
        <v>311</v>
      </c>
      <c r="B479" s="25" t="s">
        <v>323</v>
      </c>
      <c r="C479" s="25" t="s">
        <v>324</v>
      </c>
      <c r="D479" s="25" t="s">
        <v>189</v>
      </c>
      <c r="E479" s="25" t="s">
        <v>141</v>
      </c>
      <c r="F479" s="26">
        <v>59283</v>
      </c>
      <c r="G479" s="25" t="s">
        <v>142</v>
      </c>
      <c r="H479" s="27">
        <v>1000</v>
      </c>
      <c r="I479" s="25" t="s">
        <v>143</v>
      </c>
      <c r="J479" s="25" t="s">
        <v>190</v>
      </c>
      <c r="K479" s="25" t="s">
        <v>314</v>
      </c>
      <c r="L479" s="25" t="s">
        <v>146</v>
      </c>
      <c r="M479" s="27" t="s">
        <v>147</v>
      </c>
      <c r="N479" s="28" t="s">
        <v>314</v>
      </c>
    </row>
    <row r="480" spans="1:14" ht="15" customHeight="1" x14ac:dyDescent="0.3">
      <c r="A480" s="21" t="s">
        <v>311</v>
      </c>
      <c r="B480" s="21" t="s">
        <v>325</v>
      </c>
      <c r="C480" s="21" t="s">
        <v>227</v>
      </c>
      <c r="D480" s="21" t="s">
        <v>189</v>
      </c>
      <c r="E480" s="21" t="s">
        <v>141</v>
      </c>
      <c r="F480" s="22">
        <v>-13565</v>
      </c>
      <c r="G480" s="21" t="s">
        <v>142</v>
      </c>
      <c r="H480" s="23">
        <v>1000</v>
      </c>
      <c r="I480" s="21" t="s">
        <v>143</v>
      </c>
      <c r="J480" s="21" t="s">
        <v>190</v>
      </c>
      <c r="K480" s="21" t="s">
        <v>314</v>
      </c>
      <c r="L480" s="21" t="s">
        <v>146</v>
      </c>
      <c r="M480" s="23" t="s">
        <v>147</v>
      </c>
      <c r="N480" s="24" t="s">
        <v>314</v>
      </c>
    </row>
    <row r="481" spans="1:14" ht="15" customHeight="1" x14ac:dyDescent="0.3">
      <c r="A481" s="25" t="s">
        <v>311</v>
      </c>
      <c r="B481" s="25" t="s">
        <v>326</v>
      </c>
      <c r="C481" s="25" t="s">
        <v>229</v>
      </c>
      <c r="D481" s="25" t="s">
        <v>189</v>
      </c>
      <c r="E481" s="25" t="s">
        <v>141</v>
      </c>
      <c r="F481" s="26">
        <v>-10822</v>
      </c>
      <c r="G481" s="25" t="s">
        <v>142</v>
      </c>
      <c r="H481" s="27">
        <v>1000</v>
      </c>
      <c r="I481" s="25" t="s">
        <v>143</v>
      </c>
      <c r="J481" s="25" t="s">
        <v>190</v>
      </c>
      <c r="K481" s="25" t="s">
        <v>314</v>
      </c>
      <c r="L481" s="25" t="s">
        <v>146</v>
      </c>
      <c r="M481" s="27" t="s">
        <v>147</v>
      </c>
      <c r="N481" s="28" t="s">
        <v>314</v>
      </c>
    </row>
    <row r="482" spans="1:14" ht="15" customHeight="1" x14ac:dyDescent="0.3">
      <c r="A482" s="21" t="s">
        <v>311</v>
      </c>
      <c r="B482" s="21" t="s">
        <v>327</v>
      </c>
      <c r="C482" s="21" t="s">
        <v>231</v>
      </c>
      <c r="D482" s="21" t="s">
        <v>189</v>
      </c>
      <c r="E482" s="21" t="s">
        <v>141</v>
      </c>
      <c r="F482" s="22">
        <v>-1415</v>
      </c>
      <c r="G482" s="21" t="s">
        <v>142</v>
      </c>
      <c r="H482" s="23">
        <v>1000</v>
      </c>
      <c r="I482" s="21" t="s">
        <v>143</v>
      </c>
      <c r="J482" s="21" t="s">
        <v>190</v>
      </c>
      <c r="K482" s="21" t="s">
        <v>314</v>
      </c>
      <c r="L482" s="21" t="s">
        <v>146</v>
      </c>
      <c r="M482" s="23" t="s">
        <v>147</v>
      </c>
      <c r="N482" s="24" t="s">
        <v>314</v>
      </c>
    </row>
    <row r="483" spans="1:14" ht="15" customHeight="1" x14ac:dyDescent="0.3">
      <c r="A483" s="25" t="s">
        <v>311</v>
      </c>
      <c r="B483" s="25" t="s">
        <v>328</v>
      </c>
      <c r="C483" s="25" t="s">
        <v>247</v>
      </c>
      <c r="D483" s="25" t="s">
        <v>189</v>
      </c>
      <c r="E483" s="25" t="s">
        <v>141</v>
      </c>
      <c r="F483" s="26">
        <v>-6655</v>
      </c>
      <c r="G483" s="25" t="s">
        <v>142</v>
      </c>
      <c r="H483" s="27">
        <v>1000</v>
      </c>
      <c r="I483" s="25" t="s">
        <v>143</v>
      </c>
      <c r="J483" s="25" t="s">
        <v>190</v>
      </c>
      <c r="K483" s="25" t="s">
        <v>314</v>
      </c>
      <c r="L483" s="25" t="s">
        <v>146</v>
      </c>
      <c r="M483" s="27" t="s">
        <v>147</v>
      </c>
      <c r="N483" s="28" t="s">
        <v>314</v>
      </c>
    </row>
    <row r="484" spans="1:14" ht="15" customHeight="1" x14ac:dyDescent="0.3">
      <c r="A484" s="21" t="s">
        <v>311</v>
      </c>
      <c r="B484" s="21" t="s">
        <v>329</v>
      </c>
      <c r="C484" s="21" t="s">
        <v>251</v>
      </c>
      <c r="D484" s="21" t="s">
        <v>189</v>
      </c>
      <c r="E484" s="21" t="s">
        <v>141</v>
      </c>
      <c r="F484" s="22">
        <v>8720</v>
      </c>
      <c r="G484" s="21" t="s">
        <v>142</v>
      </c>
      <c r="H484" s="23">
        <v>1000</v>
      </c>
      <c r="I484" s="21" t="s">
        <v>143</v>
      </c>
      <c r="J484" s="21" t="s">
        <v>190</v>
      </c>
      <c r="K484" s="21" t="s">
        <v>314</v>
      </c>
      <c r="L484" s="21" t="s">
        <v>146</v>
      </c>
      <c r="M484" s="23" t="s">
        <v>147</v>
      </c>
      <c r="N484" s="24" t="s">
        <v>314</v>
      </c>
    </row>
    <row r="485" spans="1:14" ht="15" customHeight="1" x14ac:dyDescent="0.3">
      <c r="A485" s="25" t="s">
        <v>311</v>
      </c>
      <c r="B485" s="25" t="s">
        <v>330</v>
      </c>
      <c r="C485" s="25" t="s">
        <v>331</v>
      </c>
      <c r="D485" s="25" t="s">
        <v>189</v>
      </c>
      <c r="E485" s="25" t="s">
        <v>141</v>
      </c>
      <c r="F485" s="26">
        <v>-1006</v>
      </c>
      <c r="G485" s="25" t="s">
        <v>142</v>
      </c>
      <c r="H485" s="27">
        <v>1000</v>
      </c>
      <c r="I485" s="25" t="s">
        <v>143</v>
      </c>
      <c r="J485" s="25" t="s">
        <v>190</v>
      </c>
      <c r="K485" s="25" t="s">
        <v>314</v>
      </c>
      <c r="L485" s="25" t="s">
        <v>146</v>
      </c>
      <c r="M485" s="27" t="s">
        <v>147</v>
      </c>
      <c r="N485" s="28" t="s">
        <v>314</v>
      </c>
    </row>
    <row r="486" spans="1:14" ht="15" customHeight="1" x14ac:dyDescent="0.3">
      <c r="A486" s="21" t="s">
        <v>311</v>
      </c>
      <c r="B486" s="21" t="s">
        <v>332</v>
      </c>
      <c r="C486" s="21" t="s">
        <v>333</v>
      </c>
      <c r="D486" s="21" t="s">
        <v>189</v>
      </c>
      <c r="E486" s="21" t="s">
        <v>141</v>
      </c>
      <c r="F486" s="22">
        <v>53656</v>
      </c>
      <c r="G486" s="21" t="s">
        <v>142</v>
      </c>
      <c r="H486" s="23">
        <v>1000</v>
      </c>
      <c r="I486" s="21" t="s">
        <v>143</v>
      </c>
      <c r="J486" s="21" t="s">
        <v>190</v>
      </c>
      <c r="K486" s="21" t="s">
        <v>314</v>
      </c>
      <c r="L486" s="21" t="s">
        <v>146</v>
      </c>
      <c r="M486" s="23" t="s">
        <v>147</v>
      </c>
      <c r="N486" s="24" t="s">
        <v>314</v>
      </c>
    </row>
    <row r="487" spans="1:14" ht="15" customHeight="1" x14ac:dyDescent="0.3">
      <c r="A487" s="25" t="s">
        <v>311</v>
      </c>
      <c r="B487" s="25" t="s">
        <v>338</v>
      </c>
      <c r="C487" s="25" t="s">
        <v>339</v>
      </c>
      <c r="D487" s="25" t="s">
        <v>189</v>
      </c>
      <c r="E487" s="25" t="s">
        <v>141</v>
      </c>
      <c r="F487" s="26">
        <v>-4562</v>
      </c>
      <c r="G487" s="25" t="s">
        <v>142</v>
      </c>
      <c r="H487" s="27">
        <v>1000</v>
      </c>
      <c r="I487" s="25" t="s">
        <v>143</v>
      </c>
      <c r="J487" s="25" t="s">
        <v>190</v>
      </c>
      <c r="K487" s="25" t="s">
        <v>314</v>
      </c>
      <c r="L487" s="25" t="s">
        <v>146</v>
      </c>
      <c r="M487" s="27" t="s">
        <v>147</v>
      </c>
      <c r="N487" s="28" t="s">
        <v>314</v>
      </c>
    </row>
    <row r="488" spans="1:14" ht="15" customHeight="1" x14ac:dyDescent="0.3">
      <c r="A488" s="21" t="s">
        <v>311</v>
      </c>
      <c r="B488" s="21" t="s">
        <v>340</v>
      </c>
      <c r="C488" s="21" t="s">
        <v>341</v>
      </c>
      <c r="D488" s="21" t="s">
        <v>189</v>
      </c>
      <c r="E488" s="21" t="s">
        <v>141</v>
      </c>
      <c r="F488" s="22">
        <v>-5562</v>
      </c>
      <c r="G488" s="21" t="s">
        <v>142</v>
      </c>
      <c r="H488" s="23">
        <v>1000</v>
      </c>
      <c r="I488" s="21" t="s">
        <v>143</v>
      </c>
      <c r="J488" s="21" t="s">
        <v>190</v>
      </c>
      <c r="K488" s="21" t="s">
        <v>314</v>
      </c>
      <c r="L488" s="21" t="s">
        <v>146</v>
      </c>
      <c r="M488" s="23" t="s">
        <v>147</v>
      </c>
      <c r="N488" s="24" t="s">
        <v>314</v>
      </c>
    </row>
    <row r="489" spans="1:14" ht="15" customHeight="1" x14ac:dyDescent="0.3">
      <c r="A489" s="25" t="s">
        <v>311</v>
      </c>
      <c r="B489" s="25" t="s">
        <v>342</v>
      </c>
      <c r="C489" s="25" t="s">
        <v>343</v>
      </c>
      <c r="D489" s="25" t="s">
        <v>189</v>
      </c>
      <c r="E489" s="25" t="s">
        <v>141</v>
      </c>
      <c r="F489" s="26">
        <v>-4050</v>
      </c>
      <c r="G489" s="25" t="s">
        <v>142</v>
      </c>
      <c r="H489" s="27">
        <v>1000</v>
      </c>
      <c r="I489" s="25" t="s">
        <v>143</v>
      </c>
      <c r="J489" s="25" t="s">
        <v>190</v>
      </c>
      <c r="K489" s="25" t="s">
        <v>314</v>
      </c>
      <c r="L489" s="25" t="s">
        <v>146</v>
      </c>
      <c r="M489" s="27" t="s">
        <v>147</v>
      </c>
      <c r="N489" s="28" t="s">
        <v>314</v>
      </c>
    </row>
    <row r="490" spans="1:14" ht="15" customHeight="1" x14ac:dyDescent="0.3">
      <c r="A490" s="21" t="s">
        <v>311</v>
      </c>
      <c r="B490" s="21" t="s">
        <v>346</v>
      </c>
      <c r="C490" s="21" t="s">
        <v>347</v>
      </c>
      <c r="D490" s="21" t="s">
        <v>189</v>
      </c>
      <c r="E490" s="21" t="s">
        <v>141</v>
      </c>
      <c r="F490" s="22">
        <v>-14174</v>
      </c>
      <c r="G490" s="21" t="s">
        <v>142</v>
      </c>
      <c r="H490" s="23">
        <v>1000</v>
      </c>
      <c r="I490" s="21" t="s">
        <v>143</v>
      </c>
      <c r="J490" s="21" t="s">
        <v>190</v>
      </c>
      <c r="K490" s="21" t="s">
        <v>314</v>
      </c>
      <c r="L490" s="21" t="s">
        <v>146</v>
      </c>
      <c r="M490" s="23" t="s">
        <v>147</v>
      </c>
      <c r="N490" s="24" t="s">
        <v>314</v>
      </c>
    </row>
    <row r="491" spans="1:14" ht="15" customHeight="1" x14ac:dyDescent="0.3">
      <c r="A491" s="25" t="s">
        <v>311</v>
      </c>
      <c r="B491" s="25" t="s">
        <v>348</v>
      </c>
      <c r="C491" s="25" t="s">
        <v>349</v>
      </c>
      <c r="D491" s="25" t="s">
        <v>189</v>
      </c>
      <c r="E491" s="25" t="s">
        <v>141</v>
      </c>
      <c r="F491" s="26">
        <v>14776</v>
      </c>
      <c r="G491" s="25" t="s">
        <v>142</v>
      </c>
      <c r="H491" s="27">
        <v>1000</v>
      </c>
      <c r="I491" s="25" t="s">
        <v>143</v>
      </c>
      <c r="J491" s="25" t="s">
        <v>190</v>
      </c>
      <c r="K491" s="25" t="s">
        <v>314</v>
      </c>
      <c r="L491" s="25" t="s">
        <v>146</v>
      </c>
      <c r="M491" s="27" t="s">
        <v>147</v>
      </c>
      <c r="N491" s="28" t="s">
        <v>314</v>
      </c>
    </row>
    <row r="492" spans="1:14" ht="15" customHeight="1" x14ac:dyDescent="0.3">
      <c r="A492" s="21" t="s">
        <v>311</v>
      </c>
      <c r="B492" s="21" t="s">
        <v>352</v>
      </c>
      <c r="C492" s="21" t="s">
        <v>353</v>
      </c>
      <c r="D492" s="21" t="s">
        <v>189</v>
      </c>
      <c r="E492" s="21" t="s">
        <v>141</v>
      </c>
      <c r="F492" s="22">
        <v>14776</v>
      </c>
      <c r="G492" s="21" t="s">
        <v>142</v>
      </c>
      <c r="H492" s="23">
        <v>1000</v>
      </c>
      <c r="I492" s="21" t="s">
        <v>143</v>
      </c>
      <c r="J492" s="21" t="s">
        <v>190</v>
      </c>
      <c r="K492" s="21" t="s">
        <v>314</v>
      </c>
      <c r="L492" s="21" t="s">
        <v>146</v>
      </c>
      <c r="M492" s="23" t="s">
        <v>147</v>
      </c>
      <c r="N492" s="24" t="s">
        <v>314</v>
      </c>
    </row>
    <row r="493" spans="1:14" ht="15" customHeight="1" x14ac:dyDescent="0.3">
      <c r="A493" s="25" t="s">
        <v>311</v>
      </c>
      <c r="B493" s="25" t="s">
        <v>354</v>
      </c>
      <c r="C493" s="25" t="s">
        <v>355</v>
      </c>
      <c r="D493" s="25" t="s">
        <v>189</v>
      </c>
      <c r="E493" s="25" t="s">
        <v>141</v>
      </c>
      <c r="F493" s="26">
        <v>54258</v>
      </c>
      <c r="G493" s="25" t="s">
        <v>142</v>
      </c>
      <c r="H493" s="27">
        <v>1000</v>
      </c>
      <c r="I493" s="25" t="s">
        <v>143</v>
      </c>
      <c r="J493" s="25" t="s">
        <v>190</v>
      </c>
      <c r="K493" s="25" t="s">
        <v>314</v>
      </c>
      <c r="L493" s="25" t="s">
        <v>146</v>
      </c>
      <c r="M493" s="27" t="s">
        <v>147</v>
      </c>
      <c r="N493" s="28" t="s">
        <v>314</v>
      </c>
    </row>
    <row r="494" spans="1:14" ht="15" customHeight="1" x14ac:dyDescent="0.3">
      <c r="A494" s="21" t="s">
        <v>311</v>
      </c>
      <c r="B494" s="21" t="s">
        <v>356</v>
      </c>
      <c r="C494" s="21" t="s">
        <v>357</v>
      </c>
      <c r="D494" s="21" t="s">
        <v>189</v>
      </c>
      <c r="E494" s="21" t="s">
        <v>141</v>
      </c>
      <c r="F494" s="22">
        <v>553922</v>
      </c>
      <c r="G494" s="21" t="s">
        <v>142</v>
      </c>
      <c r="H494" s="23">
        <v>1000</v>
      </c>
      <c r="I494" s="21" t="s">
        <v>143</v>
      </c>
      <c r="J494" s="21" t="s">
        <v>190</v>
      </c>
      <c r="K494" s="21" t="s">
        <v>314</v>
      </c>
      <c r="L494" s="21" t="s">
        <v>146</v>
      </c>
      <c r="M494" s="23" t="s">
        <v>147</v>
      </c>
      <c r="N494" s="24" t="s">
        <v>314</v>
      </c>
    </row>
    <row r="495" spans="1:14" ht="15" customHeight="1" x14ac:dyDescent="0.3">
      <c r="A495" s="25" t="s">
        <v>311</v>
      </c>
      <c r="B495" s="25" t="s">
        <v>358</v>
      </c>
      <c r="C495" s="25" t="s">
        <v>359</v>
      </c>
      <c r="D495" s="25" t="s">
        <v>189</v>
      </c>
      <c r="E495" s="25" t="s">
        <v>141</v>
      </c>
      <c r="F495" s="26">
        <v>608180</v>
      </c>
      <c r="G495" s="25" t="s">
        <v>142</v>
      </c>
      <c r="H495" s="27">
        <v>1000</v>
      </c>
      <c r="I495" s="25" t="s">
        <v>143</v>
      </c>
      <c r="J495" s="25" t="s">
        <v>190</v>
      </c>
      <c r="K495" s="25" t="s">
        <v>314</v>
      </c>
      <c r="L495" s="25" t="s">
        <v>146</v>
      </c>
      <c r="M495" s="27" t="s">
        <v>147</v>
      </c>
      <c r="N495" s="28" t="s">
        <v>314</v>
      </c>
    </row>
    <row r="496" spans="1:14" ht="15" customHeight="1" x14ac:dyDescent="0.3">
      <c r="A496" s="21" t="s">
        <v>311</v>
      </c>
      <c r="B496" s="21" t="s">
        <v>312</v>
      </c>
      <c r="C496" s="21" t="s">
        <v>313</v>
      </c>
      <c r="D496" s="21" t="s">
        <v>140</v>
      </c>
      <c r="E496" s="21" t="s">
        <v>141</v>
      </c>
      <c r="F496" s="22">
        <v>-60135</v>
      </c>
      <c r="G496" s="21" t="s">
        <v>142</v>
      </c>
      <c r="H496" s="23">
        <v>1000</v>
      </c>
      <c r="I496" s="21" t="s">
        <v>143</v>
      </c>
      <c r="J496" s="21" t="s">
        <v>144</v>
      </c>
      <c r="K496" s="21" t="s">
        <v>314</v>
      </c>
      <c r="L496" s="21" t="s">
        <v>146</v>
      </c>
      <c r="M496" s="23" t="s">
        <v>147</v>
      </c>
      <c r="N496" s="24" t="s">
        <v>314</v>
      </c>
    </row>
    <row r="497" spans="1:14" ht="15" customHeight="1" x14ac:dyDescent="0.3">
      <c r="A497" s="25" t="s">
        <v>311</v>
      </c>
      <c r="B497" s="25" t="s">
        <v>317</v>
      </c>
      <c r="C497" s="25" t="s">
        <v>318</v>
      </c>
      <c r="D497" s="25" t="s">
        <v>140</v>
      </c>
      <c r="E497" s="25" t="s">
        <v>141</v>
      </c>
      <c r="F497" s="26">
        <v>40804</v>
      </c>
      <c r="G497" s="25" t="s">
        <v>142</v>
      </c>
      <c r="H497" s="27">
        <v>1000</v>
      </c>
      <c r="I497" s="25" t="s">
        <v>143</v>
      </c>
      <c r="J497" s="25" t="s">
        <v>144</v>
      </c>
      <c r="K497" s="25" t="s">
        <v>314</v>
      </c>
      <c r="L497" s="25" t="s">
        <v>146</v>
      </c>
      <c r="M497" s="27" t="s">
        <v>147</v>
      </c>
      <c r="N497" s="28" t="s">
        <v>314</v>
      </c>
    </row>
    <row r="498" spans="1:14" ht="15" customHeight="1" x14ac:dyDescent="0.3">
      <c r="A498" s="21" t="s">
        <v>311</v>
      </c>
      <c r="B498" s="21" t="s">
        <v>319</v>
      </c>
      <c r="C498" s="21" t="s">
        <v>320</v>
      </c>
      <c r="D498" s="21" t="s">
        <v>140</v>
      </c>
      <c r="E498" s="21" t="s">
        <v>141</v>
      </c>
      <c r="F498" s="22">
        <v>2726</v>
      </c>
      <c r="G498" s="21" t="s">
        <v>142</v>
      </c>
      <c r="H498" s="23">
        <v>1000</v>
      </c>
      <c r="I498" s="21" t="s">
        <v>143</v>
      </c>
      <c r="J498" s="21" t="s">
        <v>144</v>
      </c>
      <c r="K498" s="21" t="s">
        <v>314</v>
      </c>
      <c r="L498" s="21" t="s">
        <v>146</v>
      </c>
      <c r="M498" s="23" t="s">
        <v>147</v>
      </c>
      <c r="N498" s="24" t="s">
        <v>314</v>
      </c>
    </row>
    <row r="499" spans="1:14" ht="15" customHeight="1" x14ac:dyDescent="0.3">
      <c r="A499" s="25" t="s">
        <v>311</v>
      </c>
      <c r="B499" s="25" t="s">
        <v>323</v>
      </c>
      <c r="C499" s="25" t="s">
        <v>324</v>
      </c>
      <c r="D499" s="25" t="s">
        <v>140</v>
      </c>
      <c r="E499" s="25" t="s">
        <v>141</v>
      </c>
      <c r="F499" s="26">
        <v>43475</v>
      </c>
      <c r="G499" s="25" t="s">
        <v>142</v>
      </c>
      <c r="H499" s="27">
        <v>1000</v>
      </c>
      <c r="I499" s="25" t="s">
        <v>143</v>
      </c>
      <c r="J499" s="25" t="s">
        <v>144</v>
      </c>
      <c r="K499" s="25" t="s">
        <v>314</v>
      </c>
      <c r="L499" s="25" t="s">
        <v>146</v>
      </c>
      <c r="M499" s="27" t="s">
        <v>147</v>
      </c>
      <c r="N499" s="28" t="s">
        <v>314</v>
      </c>
    </row>
    <row r="500" spans="1:14" ht="15" customHeight="1" x14ac:dyDescent="0.3">
      <c r="A500" s="21" t="s">
        <v>311</v>
      </c>
      <c r="B500" s="21" t="s">
        <v>325</v>
      </c>
      <c r="C500" s="21" t="s">
        <v>227</v>
      </c>
      <c r="D500" s="21" t="s">
        <v>140</v>
      </c>
      <c r="E500" s="21" t="s">
        <v>141</v>
      </c>
      <c r="F500" s="22">
        <v>-12713</v>
      </c>
      <c r="G500" s="21" t="s">
        <v>142</v>
      </c>
      <c r="H500" s="23">
        <v>1000</v>
      </c>
      <c r="I500" s="21" t="s">
        <v>143</v>
      </c>
      <c r="J500" s="21" t="s">
        <v>144</v>
      </c>
      <c r="K500" s="21" t="s">
        <v>314</v>
      </c>
      <c r="L500" s="21" t="s">
        <v>146</v>
      </c>
      <c r="M500" s="23" t="s">
        <v>147</v>
      </c>
      <c r="N500" s="24" t="s">
        <v>314</v>
      </c>
    </row>
    <row r="501" spans="1:14" ht="15" customHeight="1" x14ac:dyDescent="0.3">
      <c r="A501" s="25" t="s">
        <v>311</v>
      </c>
      <c r="B501" s="25" t="s">
        <v>326</v>
      </c>
      <c r="C501" s="25" t="s">
        <v>229</v>
      </c>
      <c r="D501" s="25" t="s">
        <v>140</v>
      </c>
      <c r="E501" s="25" t="s">
        <v>141</v>
      </c>
      <c r="F501" s="26">
        <v>-10634</v>
      </c>
      <c r="G501" s="25" t="s">
        <v>142</v>
      </c>
      <c r="H501" s="27">
        <v>1000</v>
      </c>
      <c r="I501" s="25" t="s">
        <v>143</v>
      </c>
      <c r="J501" s="25" t="s">
        <v>144</v>
      </c>
      <c r="K501" s="25" t="s">
        <v>314</v>
      </c>
      <c r="L501" s="25" t="s">
        <v>146</v>
      </c>
      <c r="M501" s="27" t="s">
        <v>147</v>
      </c>
      <c r="N501" s="28" t="s">
        <v>314</v>
      </c>
    </row>
    <row r="502" spans="1:14" ht="15" customHeight="1" x14ac:dyDescent="0.3">
      <c r="A502" s="21" t="s">
        <v>311</v>
      </c>
      <c r="B502" s="21" t="s">
        <v>327</v>
      </c>
      <c r="C502" s="21" t="s">
        <v>231</v>
      </c>
      <c r="D502" s="21" t="s">
        <v>140</v>
      </c>
      <c r="E502" s="21" t="s">
        <v>141</v>
      </c>
      <c r="F502" s="22">
        <v>-4048</v>
      </c>
      <c r="G502" s="21" t="s">
        <v>142</v>
      </c>
      <c r="H502" s="23">
        <v>1000</v>
      </c>
      <c r="I502" s="21" t="s">
        <v>143</v>
      </c>
      <c r="J502" s="21" t="s">
        <v>144</v>
      </c>
      <c r="K502" s="21" t="s">
        <v>314</v>
      </c>
      <c r="L502" s="21" t="s">
        <v>146</v>
      </c>
      <c r="M502" s="23" t="s">
        <v>147</v>
      </c>
      <c r="N502" s="24" t="s">
        <v>314</v>
      </c>
    </row>
    <row r="503" spans="1:14" ht="15" customHeight="1" x14ac:dyDescent="0.3">
      <c r="A503" s="25" t="s">
        <v>311</v>
      </c>
      <c r="B503" s="25" t="s">
        <v>328</v>
      </c>
      <c r="C503" s="25" t="s">
        <v>247</v>
      </c>
      <c r="D503" s="25" t="s">
        <v>140</v>
      </c>
      <c r="E503" s="25" t="s">
        <v>141</v>
      </c>
      <c r="F503" s="26">
        <v>5622</v>
      </c>
      <c r="G503" s="25" t="s">
        <v>142</v>
      </c>
      <c r="H503" s="27">
        <v>1000</v>
      </c>
      <c r="I503" s="25" t="s">
        <v>143</v>
      </c>
      <c r="J503" s="25" t="s">
        <v>144</v>
      </c>
      <c r="K503" s="25" t="s">
        <v>314</v>
      </c>
      <c r="L503" s="25" t="s">
        <v>146</v>
      </c>
      <c r="M503" s="27" t="s">
        <v>147</v>
      </c>
      <c r="N503" s="28" t="s">
        <v>314</v>
      </c>
    </row>
    <row r="504" spans="1:14" ht="15" customHeight="1" x14ac:dyDescent="0.3">
      <c r="A504" s="21" t="s">
        <v>311</v>
      </c>
      <c r="B504" s="21" t="s">
        <v>329</v>
      </c>
      <c r="C504" s="21" t="s">
        <v>251</v>
      </c>
      <c r="D504" s="21" t="s">
        <v>140</v>
      </c>
      <c r="E504" s="21" t="s">
        <v>141</v>
      </c>
      <c r="F504" s="22">
        <v>3708</v>
      </c>
      <c r="G504" s="21" t="s">
        <v>142</v>
      </c>
      <c r="H504" s="23">
        <v>1000</v>
      </c>
      <c r="I504" s="21" t="s">
        <v>143</v>
      </c>
      <c r="J504" s="21" t="s">
        <v>144</v>
      </c>
      <c r="K504" s="21" t="s">
        <v>314</v>
      </c>
      <c r="L504" s="21" t="s">
        <v>146</v>
      </c>
      <c r="M504" s="23" t="s">
        <v>147</v>
      </c>
      <c r="N504" s="24" t="s">
        <v>314</v>
      </c>
    </row>
    <row r="505" spans="1:14" ht="15" customHeight="1" x14ac:dyDescent="0.3">
      <c r="A505" s="25" t="s">
        <v>311</v>
      </c>
      <c r="B505" s="25" t="s">
        <v>330</v>
      </c>
      <c r="C505" s="25" t="s">
        <v>331</v>
      </c>
      <c r="D505" s="25" t="s">
        <v>140</v>
      </c>
      <c r="E505" s="25" t="s">
        <v>141</v>
      </c>
      <c r="F505" s="26">
        <v>365</v>
      </c>
      <c r="G505" s="25" t="s">
        <v>142</v>
      </c>
      <c r="H505" s="27">
        <v>1000</v>
      </c>
      <c r="I505" s="25" t="s">
        <v>143</v>
      </c>
      <c r="J505" s="25" t="s">
        <v>144</v>
      </c>
      <c r="K505" s="25" t="s">
        <v>314</v>
      </c>
      <c r="L505" s="25" t="s">
        <v>146</v>
      </c>
      <c r="M505" s="27" t="s">
        <v>147</v>
      </c>
      <c r="N505" s="28" t="s">
        <v>314</v>
      </c>
    </row>
    <row r="506" spans="1:14" ht="15" customHeight="1" x14ac:dyDescent="0.3">
      <c r="A506" s="21" t="s">
        <v>311</v>
      </c>
      <c r="B506" s="21" t="s">
        <v>332</v>
      </c>
      <c r="C506" s="21" t="s">
        <v>333</v>
      </c>
      <c r="D506" s="21" t="s">
        <v>140</v>
      </c>
      <c r="E506" s="21" t="s">
        <v>141</v>
      </c>
      <c r="F506" s="22">
        <v>9170</v>
      </c>
      <c r="G506" s="21" t="s">
        <v>142</v>
      </c>
      <c r="H506" s="23">
        <v>1000</v>
      </c>
      <c r="I506" s="21" t="s">
        <v>143</v>
      </c>
      <c r="J506" s="21" t="s">
        <v>144</v>
      </c>
      <c r="K506" s="21" t="s">
        <v>314</v>
      </c>
      <c r="L506" s="21" t="s">
        <v>146</v>
      </c>
      <c r="M506" s="23" t="s">
        <v>147</v>
      </c>
      <c r="N506" s="24" t="s">
        <v>314</v>
      </c>
    </row>
    <row r="507" spans="1:14" ht="15" customHeight="1" x14ac:dyDescent="0.3">
      <c r="A507" s="25" t="s">
        <v>311</v>
      </c>
      <c r="B507" s="25" t="s">
        <v>338</v>
      </c>
      <c r="C507" s="25" t="s">
        <v>339</v>
      </c>
      <c r="D507" s="25" t="s">
        <v>140</v>
      </c>
      <c r="E507" s="25" t="s">
        <v>141</v>
      </c>
      <c r="F507" s="26">
        <v>-2620</v>
      </c>
      <c r="G507" s="25" t="s">
        <v>142</v>
      </c>
      <c r="H507" s="27">
        <v>1000</v>
      </c>
      <c r="I507" s="25" t="s">
        <v>143</v>
      </c>
      <c r="J507" s="25" t="s">
        <v>144</v>
      </c>
      <c r="K507" s="25" t="s">
        <v>314</v>
      </c>
      <c r="L507" s="25" t="s">
        <v>146</v>
      </c>
      <c r="M507" s="27" t="s">
        <v>147</v>
      </c>
      <c r="N507" s="28" t="s">
        <v>314</v>
      </c>
    </row>
    <row r="508" spans="1:14" ht="15" customHeight="1" x14ac:dyDescent="0.3">
      <c r="A508" s="21" t="s">
        <v>311</v>
      </c>
      <c r="B508" s="21" t="s">
        <v>340</v>
      </c>
      <c r="C508" s="21" t="s">
        <v>341</v>
      </c>
      <c r="D508" s="21" t="s">
        <v>140</v>
      </c>
      <c r="E508" s="21" t="s">
        <v>141</v>
      </c>
      <c r="F508" s="22">
        <v>-3586</v>
      </c>
      <c r="G508" s="21" t="s">
        <v>142</v>
      </c>
      <c r="H508" s="23">
        <v>1000</v>
      </c>
      <c r="I508" s="21" t="s">
        <v>143</v>
      </c>
      <c r="J508" s="21" t="s">
        <v>144</v>
      </c>
      <c r="K508" s="21" t="s">
        <v>314</v>
      </c>
      <c r="L508" s="21" t="s">
        <v>146</v>
      </c>
      <c r="M508" s="23" t="s">
        <v>147</v>
      </c>
      <c r="N508" s="24" t="s">
        <v>314</v>
      </c>
    </row>
    <row r="509" spans="1:14" ht="15" customHeight="1" x14ac:dyDescent="0.3">
      <c r="A509" s="25" t="s">
        <v>311</v>
      </c>
      <c r="B509" s="25" t="s">
        <v>346</v>
      </c>
      <c r="C509" s="25" t="s">
        <v>347</v>
      </c>
      <c r="D509" s="25" t="s">
        <v>140</v>
      </c>
      <c r="E509" s="25" t="s">
        <v>141</v>
      </c>
      <c r="F509" s="26">
        <v>-6206</v>
      </c>
      <c r="G509" s="25" t="s">
        <v>142</v>
      </c>
      <c r="H509" s="27">
        <v>1000</v>
      </c>
      <c r="I509" s="25" t="s">
        <v>143</v>
      </c>
      <c r="J509" s="25" t="s">
        <v>144</v>
      </c>
      <c r="K509" s="25" t="s">
        <v>314</v>
      </c>
      <c r="L509" s="25" t="s">
        <v>146</v>
      </c>
      <c r="M509" s="27" t="s">
        <v>147</v>
      </c>
      <c r="N509" s="28" t="s">
        <v>314</v>
      </c>
    </row>
    <row r="510" spans="1:14" ht="15" customHeight="1" x14ac:dyDescent="0.3">
      <c r="A510" s="21" t="s">
        <v>311</v>
      </c>
      <c r="B510" s="21" t="s">
        <v>364</v>
      </c>
      <c r="C510" s="21" t="s">
        <v>365</v>
      </c>
      <c r="D510" s="21" t="s">
        <v>140</v>
      </c>
      <c r="E510" s="21" t="s">
        <v>141</v>
      </c>
      <c r="F510" s="22">
        <v>426191</v>
      </c>
      <c r="G510" s="21" t="s">
        <v>142</v>
      </c>
      <c r="H510" s="23">
        <v>1000</v>
      </c>
      <c r="I510" s="21" t="s">
        <v>143</v>
      </c>
      <c r="J510" s="21" t="s">
        <v>144</v>
      </c>
      <c r="K510" s="21" t="s">
        <v>314</v>
      </c>
      <c r="L510" s="21" t="s">
        <v>146</v>
      </c>
      <c r="M510" s="23" t="s">
        <v>147</v>
      </c>
      <c r="N510" s="24" t="s">
        <v>314</v>
      </c>
    </row>
    <row r="511" spans="1:14" ht="15" customHeight="1" x14ac:dyDescent="0.3">
      <c r="A511" s="25" t="s">
        <v>311</v>
      </c>
      <c r="B511" s="25" t="s">
        <v>348</v>
      </c>
      <c r="C511" s="25" t="s">
        <v>349</v>
      </c>
      <c r="D511" s="25" t="s">
        <v>140</v>
      </c>
      <c r="E511" s="25" t="s">
        <v>141</v>
      </c>
      <c r="F511" s="26">
        <v>12480</v>
      </c>
      <c r="G511" s="25" t="s">
        <v>142</v>
      </c>
      <c r="H511" s="27">
        <v>1000</v>
      </c>
      <c r="I511" s="25" t="s">
        <v>143</v>
      </c>
      <c r="J511" s="25" t="s">
        <v>144</v>
      </c>
      <c r="K511" s="25" t="s">
        <v>314</v>
      </c>
      <c r="L511" s="25" t="s">
        <v>146</v>
      </c>
      <c r="M511" s="27" t="s">
        <v>147</v>
      </c>
      <c r="N511" s="28" t="s">
        <v>314</v>
      </c>
    </row>
    <row r="512" spans="1:14" ht="15" customHeight="1" x14ac:dyDescent="0.3">
      <c r="A512" s="21" t="s">
        <v>311</v>
      </c>
      <c r="B512" s="21" t="s">
        <v>366</v>
      </c>
      <c r="C512" s="21" t="s">
        <v>367</v>
      </c>
      <c r="D512" s="21" t="s">
        <v>140</v>
      </c>
      <c r="E512" s="21" t="s">
        <v>141</v>
      </c>
      <c r="F512" s="22">
        <v>-7335</v>
      </c>
      <c r="G512" s="21" t="s">
        <v>142</v>
      </c>
      <c r="H512" s="23">
        <v>1000</v>
      </c>
      <c r="I512" s="21" t="s">
        <v>143</v>
      </c>
      <c r="J512" s="21" t="s">
        <v>144</v>
      </c>
      <c r="K512" s="21" t="s">
        <v>314</v>
      </c>
      <c r="L512" s="21" t="s">
        <v>146</v>
      </c>
      <c r="M512" s="23" t="s">
        <v>147</v>
      </c>
      <c r="N512" s="24" t="s">
        <v>314</v>
      </c>
    </row>
    <row r="513" spans="1:14" ht="15" customHeight="1" x14ac:dyDescent="0.3">
      <c r="A513" s="25" t="s">
        <v>311</v>
      </c>
      <c r="B513" s="25" t="s">
        <v>368</v>
      </c>
      <c r="C513" s="25" t="s">
        <v>369</v>
      </c>
      <c r="D513" s="25" t="s">
        <v>140</v>
      </c>
      <c r="E513" s="25" t="s">
        <v>141</v>
      </c>
      <c r="F513" s="26">
        <v>-868</v>
      </c>
      <c r="G513" s="25" t="s">
        <v>142</v>
      </c>
      <c r="H513" s="27">
        <v>1000</v>
      </c>
      <c r="I513" s="25" t="s">
        <v>143</v>
      </c>
      <c r="J513" s="25" t="s">
        <v>144</v>
      </c>
      <c r="K513" s="25" t="s">
        <v>314</v>
      </c>
      <c r="L513" s="25" t="s">
        <v>146</v>
      </c>
      <c r="M513" s="27" t="s">
        <v>147</v>
      </c>
      <c r="N513" s="28" t="s">
        <v>314</v>
      </c>
    </row>
    <row r="514" spans="1:14" ht="15" customHeight="1" x14ac:dyDescent="0.3">
      <c r="A514" s="21" t="s">
        <v>311</v>
      </c>
      <c r="B514" s="21" t="s">
        <v>352</v>
      </c>
      <c r="C514" s="21" t="s">
        <v>353</v>
      </c>
      <c r="D514" s="21" t="s">
        <v>140</v>
      </c>
      <c r="E514" s="21" t="s">
        <v>141</v>
      </c>
      <c r="F514" s="22">
        <v>430468</v>
      </c>
      <c r="G514" s="21" t="s">
        <v>142</v>
      </c>
      <c r="H514" s="23">
        <v>1000</v>
      </c>
      <c r="I514" s="21" t="s">
        <v>143</v>
      </c>
      <c r="J514" s="21" t="s">
        <v>144</v>
      </c>
      <c r="K514" s="21" t="s">
        <v>314</v>
      </c>
      <c r="L514" s="21" t="s">
        <v>146</v>
      </c>
      <c r="M514" s="23" t="s">
        <v>147</v>
      </c>
      <c r="N514" s="24" t="s">
        <v>314</v>
      </c>
    </row>
    <row r="515" spans="1:14" ht="15" customHeight="1" x14ac:dyDescent="0.3">
      <c r="A515" s="25" t="s">
        <v>311</v>
      </c>
      <c r="B515" s="25" t="s">
        <v>354</v>
      </c>
      <c r="C515" s="25" t="s">
        <v>355</v>
      </c>
      <c r="D515" s="25" t="s">
        <v>140</v>
      </c>
      <c r="E515" s="25" t="s">
        <v>141</v>
      </c>
      <c r="F515" s="26">
        <v>433432</v>
      </c>
      <c r="G515" s="25" t="s">
        <v>142</v>
      </c>
      <c r="H515" s="27">
        <v>1000</v>
      </c>
      <c r="I515" s="25" t="s">
        <v>143</v>
      </c>
      <c r="J515" s="25" t="s">
        <v>144</v>
      </c>
      <c r="K515" s="25" t="s">
        <v>314</v>
      </c>
      <c r="L515" s="25" t="s">
        <v>146</v>
      </c>
      <c r="M515" s="27" t="s">
        <v>147</v>
      </c>
      <c r="N515" s="28" t="s">
        <v>314</v>
      </c>
    </row>
    <row r="516" spans="1:14" ht="15" customHeight="1" x14ac:dyDescent="0.3">
      <c r="A516" s="21" t="s">
        <v>311</v>
      </c>
      <c r="B516" s="21" t="s">
        <v>356</v>
      </c>
      <c r="C516" s="21" t="s">
        <v>357</v>
      </c>
      <c r="D516" s="21" t="s">
        <v>140</v>
      </c>
      <c r="E516" s="21" t="s">
        <v>141</v>
      </c>
      <c r="F516" s="22">
        <v>120490</v>
      </c>
      <c r="G516" s="21" t="s">
        <v>142</v>
      </c>
      <c r="H516" s="23">
        <v>1000</v>
      </c>
      <c r="I516" s="21" t="s">
        <v>143</v>
      </c>
      <c r="J516" s="21" t="s">
        <v>144</v>
      </c>
      <c r="K516" s="21" t="s">
        <v>314</v>
      </c>
      <c r="L516" s="21" t="s">
        <v>146</v>
      </c>
      <c r="M516" s="23" t="s">
        <v>147</v>
      </c>
      <c r="N516" s="24" t="s">
        <v>314</v>
      </c>
    </row>
    <row r="517" spans="1:14" ht="15" customHeight="1" x14ac:dyDescent="0.3">
      <c r="A517" s="25" t="s">
        <v>311</v>
      </c>
      <c r="B517" s="25" t="s">
        <v>358</v>
      </c>
      <c r="C517" s="25" t="s">
        <v>359</v>
      </c>
      <c r="D517" s="25" t="s">
        <v>140</v>
      </c>
      <c r="E517" s="25" t="s">
        <v>141</v>
      </c>
      <c r="F517" s="26">
        <v>553922</v>
      </c>
      <c r="G517" s="25" t="s">
        <v>142</v>
      </c>
      <c r="H517" s="27">
        <v>1000</v>
      </c>
      <c r="I517" s="25" t="s">
        <v>143</v>
      </c>
      <c r="J517" s="25" t="s">
        <v>144</v>
      </c>
      <c r="K517" s="25" t="s">
        <v>314</v>
      </c>
      <c r="L517" s="25" t="s">
        <v>146</v>
      </c>
      <c r="M517" s="27" t="s">
        <v>147</v>
      </c>
      <c r="N517" s="28" t="s">
        <v>314</v>
      </c>
    </row>
    <row r="518" spans="1:14" ht="15" customHeight="1" x14ac:dyDescent="0.3">
      <c r="A518" s="21" t="s">
        <v>311</v>
      </c>
      <c r="B518" s="21" t="s">
        <v>312</v>
      </c>
      <c r="C518" s="21" t="s">
        <v>313</v>
      </c>
      <c r="D518" s="21" t="s">
        <v>211</v>
      </c>
      <c r="E518" s="21" t="s">
        <v>212</v>
      </c>
      <c r="F518" s="22">
        <v>372111</v>
      </c>
      <c r="G518" s="21" t="s">
        <v>142</v>
      </c>
      <c r="H518" s="23">
        <v>1000</v>
      </c>
      <c r="I518" s="21" t="s">
        <v>201</v>
      </c>
      <c r="J518" s="21" t="s">
        <v>213</v>
      </c>
      <c r="K518" s="21" t="s">
        <v>370</v>
      </c>
      <c r="L518" s="21" t="s">
        <v>203</v>
      </c>
      <c r="M518" s="23" t="s">
        <v>147</v>
      </c>
      <c r="N518" s="24" t="s">
        <v>370</v>
      </c>
    </row>
    <row r="519" spans="1:14" ht="15" customHeight="1" x14ac:dyDescent="0.3">
      <c r="A519" s="25" t="s">
        <v>311</v>
      </c>
      <c r="B519" s="25" t="s">
        <v>315</v>
      </c>
      <c r="C519" s="25" t="s">
        <v>316</v>
      </c>
      <c r="D519" s="25" t="s">
        <v>211</v>
      </c>
      <c r="E519" s="25" t="s">
        <v>212</v>
      </c>
      <c r="F519" s="26">
        <v>-239486</v>
      </c>
      <c r="G519" s="25" t="s">
        <v>142</v>
      </c>
      <c r="H519" s="27">
        <v>1000</v>
      </c>
      <c r="I519" s="25" t="s">
        <v>201</v>
      </c>
      <c r="J519" s="25" t="s">
        <v>213</v>
      </c>
      <c r="K519" s="25" t="s">
        <v>370</v>
      </c>
      <c r="L519" s="25" t="s">
        <v>203</v>
      </c>
      <c r="M519" s="27" t="s">
        <v>147</v>
      </c>
      <c r="N519" s="28" t="s">
        <v>370</v>
      </c>
    </row>
    <row r="520" spans="1:14" ht="15" customHeight="1" x14ac:dyDescent="0.3">
      <c r="A520" s="21" t="s">
        <v>311</v>
      </c>
      <c r="B520" s="21" t="s">
        <v>317</v>
      </c>
      <c r="C520" s="21" t="s">
        <v>318</v>
      </c>
      <c r="D520" s="21" t="s">
        <v>211</v>
      </c>
      <c r="E520" s="21" t="s">
        <v>212</v>
      </c>
      <c r="F520" s="22">
        <v>101175</v>
      </c>
      <c r="G520" s="21" t="s">
        <v>142</v>
      </c>
      <c r="H520" s="23">
        <v>1000</v>
      </c>
      <c r="I520" s="21" t="s">
        <v>201</v>
      </c>
      <c r="J520" s="21" t="s">
        <v>213</v>
      </c>
      <c r="K520" s="21" t="s">
        <v>370</v>
      </c>
      <c r="L520" s="21" t="s">
        <v>203</v>
      </c>
      <c r="M520" s="23" t="s">
        <v>147</v>
      </c>
      <c r="N520" s="24" t="s">
        <v>370</v>
      </c>
    </row>
    <row r="521" spans="1:14" ht="15" customHeight="1" x14ac:dyDescent="0.3">
      <c r="A521" s="25" t="s">
        <v>311</v>
      </c>
      <c r="B521" s="25" t="s">
        <v>319</v>
      </c>
      <c r="C521" s="25" t="s">
        <v>320</v>
      </c>
      <c r="D521" s="25" t="s">
        <v>211</v>
      </c>
      <c r="E521" s="25" t="s">
        <v>212</v>
      </c>
      <c r="F521" s="26">
        <v>10583</v>
      </c>
      <c r="G521" s="25" t="s">
        <v>142</v>
      </c>
      <c r="H521" s="27">
        <v>1000</v>
      </c>
      <c r="I521" s="25" t="s">
        <v>201</v>
      </c>
      <c r="J521" s="25" t="s">
        <v>213</v>
      </c>
      <c r="K521" s="25" t="s">
        <v>370</v>
      </c>
      <c r="L521" s="25" t="s">
        <v>203</v>
      </c>
      <c r="M521" s="27" t="s">
        <v>147</v>
      </c>
      <c r="N521" s="28" t="s">
        <v>370</v>
      </c>
    </row>
    <row r="522" spans="1:14" ht="15" customHeight="1" x14ac:dyDescent="0.3">
      <c r="A522" s="21" t="s">
        <v>311</v>
      </c>
      <c r="B522" s="21" t="s">
        <v>321</v>
      </c>
      <c r="C522" s="21" t="s">
        <v>322</v>
      </c>
      <c r="D522" s="21" t="s">
        <v>211</v>
      </c>
      <c r="E522" s="21" t="s">
        <v>212</v>
      </c>
      <c r="F522" s="22">
        <v>-1458</v>
      </c>
      <c r="G522" s="21" t="s">
        <v>142</v>
      </c>
      <c r="H522" s="23">
        <v>1000</v>
      </c>
      <c r="I522" s="21" t="s">
        <v>201</v>
      </c>
      <c r="J522" s="21" t="s">
        <v>213</v>
      </c>
      <c r="K522" s="21" t="s">
        <v>370</v>
      </c>
      <c r="L522" s="21" t="s">
        <v>203</v>
      </c>
      <c r="M522" s="23" t="s">
        <v>147</v>
      </c>
      <c r="N522" s="24" t="s">
        <v>370</v>
      </c>
    </row>
    <row r="523" spans="1:14" ht="15" customHeight="1" x14ac:dyDescent="0.3">
      <c r="A523" s="25" t="s">
        <v>311</v>
      </c>
      <c r="B523" s="25" t="s">
        <v>323</v>
      </c>
      <c r="C523" s="25" t="s">
        <v>324</v>
      </c>
      <c r="D523" s="25" t="s">
        <v>211</v>
      </c>
      <c r="E523" s="25" t="s">
        <v>212</v>
      </c>
      <c r="F523" s="26">
        <v>68844</v>
      </c>
      <c r="G523" s="25" t="s">
        <v>142</v>
      </c>
      <c r="H523" s="27">
        <v>1000</v>
      </c>
      <c r="I523" s="25" t="s">
        <v>201</v>
      </c>
      <c r="J523" s="25" t="s">
        <v>213</v>
      </c>
      <c r="K523" s="25" t="s">
        <v>370</v>
      </c>
      <c r="L523" s="25" t="s">
        <v>203</v>
      </c>
      <c r="M523" s="27" t="s">
        <v>147</v>
      </c>
      <c r="N523" s="28" t="s">
        <v>370</v>
      </c>
    </row>
    <row r="524" spans="1:14" ht="15" customHeight="1" x14ac:dyDescent="0.3">
      <c r="A524" s="21" t="s">
        <v>311</v>
      </c>
      <c r="B524" s="21" t="s">
        <v>325</v>
      </c>
      <c r="C524" s="21" t="s">
        <v>227</v>
      </c>
      <c r="D524" s="21" t="s">
        <v>211</v>
      </c>
      <c r="E524" s="21" t="s">
        <v>212</v>
      </c>
      <c r="F524" s="22">
        <v>4434</v>
      </c>
      <c r="G524" s="21" t="s">
        <v>142</v>
      </c>
      <c r="H524" s="23">
        <v>1000</v>
      </c>
      <c r="I524" s="21" t="s">
        <v>201</v>
      </c>
      <c r="J524" s="21" t="s">
        <v>213</v>
      </c>
      <c r="K524" s="21" t="s">
        <v>370</v>
      </c>
      <c r="L524" s="21" t="s">
        <v>203</v>
      </c>
      <c r="M524" s="23" t="s">
        <v>147</v>
      </c>
      <c r="N524" s="24" t="s">
        <v>370</v>
      </c>
    </row>
    <row r="525" spans="1:14" ht="15" customHeight="1" x14ac:dyDescent="0.3">
      <c r="A525" s="25" t="s">
        <v>311</v>
      </c>
      <c r="B525" s="25" t="s">
        <v>326</v>
      </c>
      <c r="C525" s="25" t="s">
        <v>229</v>
      </c>
      <c r="D525" s="25" t="s">
        <v>211</v>
      </c>
      <c r="E525" s="25" t="s">
        <v>212</v>
      </c>
      <c r="F525" s="26">
        <v>-14408</v>
      </c>
      <c r="G525" s="25" t="s">
        <v>142</v>
      </c>
      <c r="H525" s="27">
        <v>1000</v>
      </c>
      <c r="I525" s="25" t="s">
        <v>201</v>
      </c>
      <c r="J525" s="25" t="s">
        <v>213</v>
      </c>
      <c r="K525" s="25" t="s">
        <v>370</v>
      </c>
      <c r="L525" s="25" t="s">
        <v>203</v>
      </c>
      <c r="M525" s="27" t="s">
        <v>147</v>
      </c>
      <c r="N525" s="28" t="s">
        <v>370</v>
      </c>
    </row>
    <row r="526" spans="1:14" ht="15" customHeight="1" x14ac:dyDescent="0.3">
      <c r="A526" s="21" t="s">
        <v>311</v>
      </c>
      <c r="B526" s="21" t="s">
        <v>327</v>
      </c>
      <c r="C526" s="21" t="s">
        <v>231</v>
      </c>
      <c r="D526" s="21" t="s">
        <v>211</v>
      </c>
      <c r="E526" s="21" t="s">
        <v>212</v>
      </c>
      <c r="F526" s="22">
        <v>-11734</v>
      </c>
      <c r="G526" s="21" t="s">
        <v>142</v>
      </c>
      <c r="H526" s="23">
        <v>1000</v>
      </c>
      <c r="I526" s="21" t="s">
        <v>201</v>
      </c>
      <c r="J526" s="21" t="s">
        <v>213</v>
      </c>
      <c r="K526" s="21" t="s">
        <v>370</v>
      </c>
      <c r="L526" s="21" t="s">
        <v>203</v>
      </c>
      <c r="M526" s="23" t="s">
        <v>147</v>
      </c>
      <c r="N526" s="24" t="s">
        <v>370</v>
      </c>
    </row>
    <row r="527" spans="1:14" ht="15" customHeight="1" x14ac:dyDescent="0.3">
      <c r="A527" s="25" t="s">
        <v>311</v>
      </c>
      <c r="B527" s="25" t="s">
        <v>328</v>
      </c>
      <c r="C527" s="25" t="s">
        <v>247</v>
      </c>
      <c r="D527" s="25" t="s">
        <v>211</v>
      </c>
      <c r="E527" s="25" t="s">
        <v>212</v>
      </c>
      <c r="F527" s="26">
        <v>-2813</v>
      </c>
      <c r="G527" s="25" t="s">
        <v>142</v>
      </c>
      <c r="H527" s="27">
        <v>1000</v>
      </c>
      <c r="I527" s="25" t="s">
        <v>201</v>
      </c>
      <c r="J527" s="25" t="s">
        <v>213</v>
      </c>
      <c r="K527" s="25" t="s">
        <v>370</v>
      </c>
      <c r="L527" s="25" t="s">
        <v>203</v>
      </c>
      <c r="M527" s="27" t="s">
        <v>147</v>
      </c>
      <c r="N527" s="28" t="s">
        <v>370</v>
      </c>
    </row>
    <row r="528" spans="1:14" ht="15" customHeight="1" x14ac:dyDescent="0.3">
      <c r="A528" s="21" t="s">
        <v>311</v>
      </c>
      <c r="B528" s="21" t="s">
        <v>329</v>
      </c>
      <c r="C528" s="21" t="s">
        <v>251</v>
      </c>
      <c r="D528" s="21" t="s">
        <v>211</v>
      </c>
      <c r="E528" s="21" t="s">
        <v>212</v>
      </c>
      <c r="F528" s="22">
        <v>-5190</v>
      </c>
      <c r="G528" s="21" t="s">
        <v>142</v>
      </c>
      <c r="H528" s="23">
        <v>1000</v>
      </c>
      <c r="I528" s="21" t="s">
        <v>201</v>
      </c>
      <c r="J528" s="21" t="s">
        <v>213</v>
      </c>
      <c r="K528" s="21" t="s">
        <v>370</v>
      </c>
      <c r="L528" s="21" t="s">
        <v>203</v>
      </c>
      <c r="M528" s="23" t="s">
        <v>147</v>
      </c>
      <c r="N528" s="24" t="s">
        <v>370</v>
      </c>
    </row>
    <row r="529" spans="1:14" ht="15" customHeight="1" x14ac:dyDescent="0.3">
      <c r="A529" s="25" t="s">
        <v>311</v>
      </c>
      <c r="B529" s="25" t="s">
        <v>330</v>
      </c>
      <c r="C529" s="25" t="s">
        <v>331</v>
      </c>
      <c r="D529" s="25" t="s">
        <v>211</v>
      </c>
      <c r="E529" s="25" t="s">
        <v>212</v>
      </c>
      <c r="F529" s="26">
        <v>-1513</v>
      </c>
      <c r="G529" s="25" t="s">
        <v>142</v>
      </c>
      <c r="H529" s="27">
        <v>1000</v>
      </c>
      <c r="I529" s="25" t="s">
        <v>201</v>
      </c>
      <c r="J529" s="25" t="s">
        <v>213</v>
      </c>
      <c r="K529" s="25" t="s">
        <v>370</v>
      </c>
      <c r="L529" s="25" t="s">
        <v>203</v>
      </c>
      <c r="M529" s="27" t="s">
        <v>147</v>
      </c>
      <c r="N529" s="28" t="s">
        <v>370</v>
      </c>
    </row>
    <row r="530" spans="1:14" ht="15" customHeight="1" x14ac:dyDescent="0.3">
      <c r="A530" s="21" t="s">
        <v>311</v>
      </c>
      <c r="B530" s="21" t="s">
        <v>332</v>
      </c>
      <c r="C530" s="21" t="s">
        <v>333</v>
      </c>
      <c r="D530" s="21" t="s">
        <v>211</v>
      </c>
      <c r="E530" s="21" t="s">
        <v>212</v>
      </c>
      <c r="F530" s="22">
        <v>280545</v>
      </c>
      <c r="G530" s="21" t="s">
        <v>142</v>
      </c>
      <c r="H530" s="23">
        <v>1000</v>
      </c>
      <c r="I530" s="21" t="s">
        <v>201</v>
      </c>
      <c r="J530" s="21" t="s">
        <v>213</v>
      </c>
      <c r="K530" s="21" t="s">
        <v>370</v>
      </c>
      <c r="L530" s="21" t="s">
        <v>203</v>
      </c>
      <c r="M530" s="23" t="s">
        <v>147</v>
      </c>
      <c r="N530" s="24" t="s">
        <v>370</v>
      </c>
    </row>
    <row r="531" spans="1:14" ht="15" customHeight="1" x14ac:dyDescent="0.3">
      <c r="A531" s="25" t="s">
        <v>311</v>
      </c>
      <c r="B531" s="25" t="s">
        <v>334</v>
      </c>
      <c r="C531" s="25" t="s">
        <v>335</v>
      </c>
      <c r="D531" s="25" t="s">
        <v>211</v>
      </c>
      <c r="E531" s="25" t="s">
        <v>212</v>
      </c>
      <c r="F531" s="26">
        <v>-99120</v>
      </c>
      <c r="G531" s="25" t="s">
        <v>142</v>
      </c>
      <c r="H531" s="27">
        <v>1000</v>
      </c>
      <c r="I531" s="25" t="s">
        <v>201</v>
      </c>
      <c r="J531" s="25" t="s">
        <v>213</v>
      </c>
      <c r="K531" s="25" t="s">
        <v>370</v>
      </c>
      <c r="L531" s="25" t="s">
        <v>203</v>
      </c>
      <c r="M531" s="27" t="s">
        <v>147</v>
      </c>
      <c r="N531" s="28" t="s">
        <v>370</v>
      </c>
    </row>
    <row r="532" spans="1:14" ht="15" customHeight="1" x14ac:dyDescent="0.3">
      <c r="A532" s="21" t="s">
        <v>311</v>
      </c>
      <c r="B532" s="21" t="s">
        <v>336</v>
      </c>
      <c r="C532" s="21" t="s">
        <v>337</v>
      </c>
      <c r="D532" s="21" t="s">
        <v>211</v>
      </c>
      <c r="E532" s="21" t="s">
        <v>212</v>
      </c>
      <c r="F532" s="22">
        <v>82077</v>
      </c>
      <c r="G532" s="21" t="s">
        <v>142</v>
      </c>
      <c r="H532" s="23">
        <v>1000</v>
      </c>
      <c r="I532" s="21" t="s">
        <v>201</v>
      </c>
      <c r="J532" s="21" t="s">
        <v>213</v>
      </c>
      <c r="K532" s="21" t="s">
        <v>370</v>
      </c>
      <c r="L532" s="21" t="s">
        <v>203</v>
      </c>
      <c r="M532" s="23" t="s">
        <v>147</v>
      </c>
      <c r="N532" s="24" t="s">
        <v>370</v>
      </c>
    </row>
    <row r="533" spans="1:14" ht="15" customHeight="1" x14ac:dyDescent="0.3">
      <c r="A533" s="25" t="s">
        <v>311</v>
      </c>
      <c r="B533" s="25" t="s">
        <v>338</v>
      </c>
      <c r="C533" s="25" t="s">
        <v>339</v>
      </c>
      <c r="D533" s="25" t="s">
        <v>211</v>
      </c>
      <c r="E533" s="25" t="s">
        <v>212</v>
      </c>
      <c r="F533" s="26">
        <v>-6484</v>
      </c>
      <c r="G533" s="25" t="s">
        <v>142</v>
      </c>
      <c r="H533" s="27">
        <v>1000</v>
      </c>
      <c r="I533" s="25" t="s">
        <v>201</v>
      </c>
      <c r="J533" s="25" t="s">
        <v>213</v>
      </c>
      <c r="K533" s="25" t="s">
        <v>370</v>
      </c>
      <c r="L533" s="25" t="s">
        <v>203</v>
      </c>
      <c r="M533" s="27" t="s">
        <v>147</v>
      </c>
      <c r="N533" s="28" t="s">
        <v>370</v>
      </c>
    </row>
    <row r="534" spans="1:14" ht="15" customHeight="1" x14ac:dyDescent="0.3">
      <c r="A534" s="21" t="s">
        <v>311</v>
      </c>
      <c r="B534" s="21" t="s">
        <v>340</v>
      </c>
      <c r="C534" s="21" t="s">
        <v>341</v>
      </c>
      <c r="D534" s="21" t="s">
        <v>211</v>
      </c>
      <c r="E534" s="21" t="s">
        <v>212</v>
      </c>
      <c r="F534" s="22">
        <v>-7369</v>
      </c>
      <c r="G534" s="21" t="s">
        <v>142</v>
      </c>
      <c r="H534" s="23">
        <v>1000</v>
      </c>
      <c r="I534" s="21" t="s">
        <v>201</v>
      </c>
      <c r="J534" s="21" t="s">
        <v>213</v>
      </c>
      <c r="K534" s="21" t="s">
        <v>370</v>
      </c>
      <c r="L534" s="21" t="s">
        <v>203</v>
      </c>
      <c r="M534" s="23" t="s">
        <v>147</v>
      </c>
      <c r="N534" s="24" t="s">
        <v>370</v>
      </c>
    </row>
    <row r="535" spans="1:14" ht="15" customHeight="1" x14ac:dyDescent="0.3">
      <c r="A535" s="25" t="s">
        <v>311</v>
      </c>
      <c r="B535" s="25" t="s">
        <v>342</v>
      </c>
      <c r="C535" s="25" t="s">
        <v>343</v>
      </c>
      <c r="D535" s="25" t="s">
        <v>211</v>
      </c>
      <c r="E535" s="25" t="s">
        <v>212</v>
      </c>
      <c r="F535" s="26">
        <v>-33100</v>
      </c>
      <c r="G535" s="25" t="s">
        <v>142</v>
      </c>
      <c r="H535" s="27">
        <v>1000</v>
      </c>
      <c r="I535" s="25" t="s">
        <v>201</v>
      </c>
      <c r="J535" s="25" t="s">
        <v>213</v>
      </c>
      <c r="K535" s="25" t="s">
        <v>370</v>
      </c>
      <c r="L535" s="25" t="s">
        <v>203</v>
      </c>
      <c r="M535" s="27" t="s">
        <v>147</v>
      </c>
      <c r="N535" s="28" t="s">
        <v>370</v>
      </c>
    </row>
    <row r="536" spans="1:14" ht="15" customHeight="1" x14ac:dyDescent="0.3">
      <c r="A536" s="21" t="s">
        <v>311</v>
      </c>
      <c r="B536" s="21" t="s">
        <v>344</v>
      </c>
      <c r="C536" s="21" t="s">
        <v>345</v>
      </c>
      <c r="D536" s="21" t="s">
        <v>211</v>
      </c>
      <c r="E536" s="21" t="s">
        <v>212</v>
      </c>
      <c r="F536" s="22">
        <v>-500</v>
      </c>
      <c r="G536" s="21" t="s">
        <v>142</v>
      </c>
      <c r="H536" s="23">
        <v>1000</v>
      </c>
      <c r="I536" s="21" t="s">
        <v>201</v>
      </c>
      <c r="J536" s="21" t="s">
        <v>213</v>
      </c>
      <c r="K536" s="21" t="s">
        <v>370</v>
      </c>
      <c r="L536" s="21" t="s">
        <v>203</v>
      </c>
      <c r="M536" s="23" t="s">
        <v>147</v>
      </c>
      <c r="N536" s="24" t="s">
        <v>370</v>
      </c>
    </row>
    <row r="537" spans="1:14" ht="15" customHeight="1" x14ac:dyDescent="0.3">
      <c r="A537" s="25" t="s">
        <v>311</v>
      </c>
      <c r="B537" s="25" t="s">
        <v>346</v>
      </c>
      <c r="C537" s="25" t="s">
        <v>347</v>
      </c>
      <c r="D537" s="25" t="s">
        <v>211</v>
      </c>
      <c r="E537" s="25" t="s">
        <v>212</v>
      </c>
      <c r="F537" s="26">
        <v>-64496</v>
      </c>
      <c r="G537" s="25" t="s">
        <v>142</v>
      </c>
      <c r="H537" s="27">
        <v>1000</v>
      </c>
      <c r="I537" s="25" t="s">
        <v>201</v>
      </c>
      <c r="J537" s="25" t="s">
        <v>213</v>
      </c>
      <c r="K537" s="25" t="s">
        <v>370</v>
      </c>
      <c r="L537" s="25" t="s">
        <v>203</v>
      </c>
      <c r="M537" s="27" t="s">
        <v>147</v>
      </c>
      <c r="N537" s="28" t="s">
        <v>370</v>
      </c>
    </row>
    <row r="538" spans="1:14" ht="15" customHeight="1" x14ac:dyDescent="0.3">
      <c r="A538" s="21" t="s">
        <v>311</v>
      </c>
      <c r="B538" s="21" t="s">
        <v>348</v>
      </c>
      <c r="C538" s="21" t="s">
        <v>349</v>
      </c>
      <c r="D538" s="21" t="s">
        <v>211</v>
      </c>
      <c r="E538" s="21" t="s">
        <v>212</v>
      </c>
      <c r="F538" s="22">
        <v>9702</v>
      </c>
      <c r="G538" s="21" t="s">
        <v>142</v>
      </c>
      <c r="H538" s="23">
        <v>1000</v>
      </c>
      <c r="I538" s="21" t="s">
        <v>201</v>
      </c>
      <c r="J538" s="21" t="s">
        <v>213</v>
      </c>
      <c r="K538" s="21" t="s">
        <v>370</v>
      </c>
      <c r="L538" s="21" t="s">
        <v>203</v>
      </c>
      <c r="M538" s="23" t="s">
        <v>147</v>
      </c>
      <c r="N538" s="24" t="s">
        <v>370</v>
      </c>
    </row>
    <row r="539" spans="1:14" ht="15" customHeight="1" x14ac:dyDescent="0.3">
      <c r="A539" s="25" t="s">
        <v>311</v>
      </c>
      <c r="B539" s="25" t="s">
        <v>352</v>
      </c>
      <c r="C539" s="25" t="s">
        <v>353</v>
      </c>
      <c r="D539" s="25" t="s">
        <v>211</v>
      </c>
      <c r="E539" s="25" t="s">
        <v>212</v>
      </c>
      <c r="F539" s="26">
        <v>9702</v>
      </c>
      <c r="G539" s="25" t="s">
        <v>142</v>
      </c>
      <c r="H539" s="27">
        <v>1000</v>
      </c>
      <c r="I539" s="25" t="s">
        <v>201</v>
      </c>
      <c r="J539" s="25" t="s">
        <v>213</v>
      </c>
      <c r="K539" s="25" t="s">
        <v>370</v>
      </c>
      <c r="L539" s="25" t="s">
        <v>203</v>
      </c>
      <c r="M539" s="27" t="s">
        <v>147</v>
      </c>
      <c r="N539" s="28" t="s">
        <v>370</v>
      </c>
    </row>
    <row r="540" spans="1:14" ht="15" customHeight="1" x14ac:dyDescent="0.3">
      <c r="A540" s="21" t="s">
        <v>311</v>
      </c>
      <c r="B540" s="21" t="s">
        <v>354</v>
      </c>
      <c r="C540" s="21" t="s">
        <v>355</v>
      </c>
      <c r="D540" s="21" t="s">
        <v>211</v>
      </c>
      <c r="E540" s="21" t="s">
        <v>212</v>
      </c>
      <c r="F540" s="22">
        <v>225751</v>
      </c>
      <c r="G540" s="21" t="s">
        <v>142</v>
      </c>
      <c r="H540" s="23">
        <v>1000</v>
      </c>
      <c r="I540" s="21" t="s">
        <v>201</v>
      </c>
      <c r="J540" s="21" t="s">
        <v>213</v>
      </c>
      <c r="K540" s="21" t="s">
        <v>370</v>
      </c>
      <c r="L540" s="21" t="s">
        <v>203</v>
      </c>
      <c r="M540" s="23" t="s">
        <v>147</v>
      </c>
      <c r="N540" s="24" t="s">
        <v>370</v>
      </c>
    </row>
    <row r="541" spans="1:14" ht="15" customHeight="1" x14ac:dyDescent="0.3">
      <c r="A541" s="25" t="s">
        <v>311</v>
      </c>
      <c r="B541" s="25" t="s">
        <v>356</v>
      </c>
      <c r="C541" s="25" t="s">
        <v>357</v>
      </c>
      <c r="D541" s="25" t="s">
        <v>211</v>
      </c>
      <c r="E541" s="25" t="s">
        <v>212</v>
      </c>
      <c r="F541" s="26">
        <v>788526</v>
      </c>
      <c r="G541" s="25" t="s">
        <v>142</v>
      </c>
      <c r="H541" s="27">
        <v>1000</v>
      </c>
      <c r="I541" s="25" t="s">
        <v>201</v>
      </c>
      <c r="J541" s="25" t="s">
        <v>213</v>
      </c>
      <c r="K541" s="25" t="s">
        <v>370</v>
      </c>
      <c r="L541" s="25" t="s">
        <v>203</v>
      </c>
      <c r="M541" s="27" t="s">
        <v>147</v>
      </c>
      <c r="N541" s="28" t="s">
        <v>370</v>
      </c>
    </row>
    <row r="542" spans="1:14" ht="15" customHeight="1" x14ac:dyDescent="0.3">
      <c r="A542" s="21" t="s">
        <v>311</v>
      </c>
      <c r="B542" s="21" t="s">
        <v>358</v>
      </c>
      <c r="C542" s="21" t="s">
        <v>359</v>
      </c>
      <c r="D542" s="21" t="s">
        <v>211</v>
      </c>
      <c r="E542" s="21" t="s">
        <v>212</v>
      </c>
      <c r="F542" s="22">
        <v>1014277</v>
      </c>
      <c r="G542" s="21" t="s">
        <v>142</v>
      </c>
      <c r="H542" s="23">
        <v>1000</v>
      </c>
      <c r="I542" s="21" t="s">
        <v>201</v>
      </c>
      <c r="J542" s="21" t="s">
        <v>213</v>
      </c>
      <c r="K542" s="21" t="s">
        <v>370</v>
      </c>
      <c r="L542" s="21" t="s">
        <v>203</v>
      </c>
      <c r="M542" s="23" t="s">
        <v>147</v>
      </c>
      <c r="N542" s="24" t="s">
        <v>370</v>
      </c>
    </row>
    <row r="543" spans="1:14" ht="15" customHeight="1" x14ac:dyDescent="0.3">
      <c r="A543" s="25" t="s">
        <v>311</v>
      </c>
      <c r="B543" s="25" t="s">
        <v>312</v>
      </c>
      <c r="C543" s="25" t="s">
        <v>313</v>
      </c>
      <c r="D543" s="25" t="s">
        <v>371</v>
      </c>
      <c r="E543" s="25" t="s">
        <v>212</v>
      </c>
      <c r="F543" s="26">
        <v>74667</v>
      </c>
      <c r="G543" s="25" t="s">
        <v>142</v>
      </c>
      <c r="H543" s="27">
        <v>1000</v>
      </c>
      <c r="I543" s="25" t="s">
        <v>201</v>
      </c>
      <c r="J543" s="25" t="s">
        <v>372</v>
      </c>
      <c r="K543" s="25" t="s">
        <v>370</v>
      </c>
      <c r="L543" s="25" t="s">
        <v>203</v>
      </c>
      <c r="M543" s="27" t="s">
        <v>147</v>
      </c>
      <c r="N543" s="28" t="s">
        <v>370</v>
      </c>
    </row>
    <row r="544" spans="1:14" ht="15" customHeight="1" x14ac:dyDescent="0.3">
      <c r="A544" s="21" t="s">
        <v>311</v>
      </c>
      <c r="B544" s="21" t="s">
        <v>317</v>
      </c>
      <c r="C544" s="21" t="s">
        <v>318</v>
      </c>
      <c r="D544" s="21" t="s">
        <v>371</v>
      </c>
      <c r="E544" s="21" t="s">
        <v>212</v>
      </c>
      <c r="F544" s="22">
        <v>80690</v>
      </c>
      <c r="G544" s="21" t="s">
        <v>142</v>
      </c>
      <c r="H544" s="23">
        <v>1000</v>
      </c>
      <c r="I544" s="21" t="s">
        <v>201</v>
      </c>
      <c r="J544" s="21" t="s">
        <v>372</v>
      </c>
      <c r="K544" s="21" t="s">
        <v>370</v>
      </c>
      <c r="L544" s="21" t="s">
        <v>203</v>
      </c>
      <c r="M544" s="23" t="s">
        <v>147</v>
      </c>
      <c r="N544" s="24" t="s">
        <v>370</v>
      </c>
    </row>
    <row r="545" spans="1:14" ht="15" customHeight="1" x14ac:dyDescent="0.3">
      <c r="A545" s="25" t="s">
        <v>311</v>
      </c>
      <c r="B545" s="25" t="s">
        <v>319</v>
      </c>
      <c r="C545" s="25" t="s">
        <v>320</v>
      </c>
      <c r="D545" s="25" t="s">
        <v>371</v>
      </c>
      <c r="E545" s="25" t="s">
        <v>212</v>
      </c>
      <c r="F545" s="26">
        <v>7193</v>
      </c>
      <c r="G545" s="25" t="s">
        <v>142</v>
      </c>
      <c r="H545" s="27">
        <v>1000</v>
      </c>
      <c r="I545" s="25" t="s">
        <v>201</v>
      </c>
      <c r="J545" s="25" t="s">
        <v>372</v>
      </c>
      <c r="K545" s="25" t="s">
        <v>370</v>
      </c>
      <c r="L545" s="25" t="s">
        <v>203</v>
      </c>
      <c r="M545" s="27" t="s">
        <v>147</v>
      </c>
      <c r="N545" s="28" t="s">
        <v>370</v>
      </c>
    </row>
    <row r="546" spans="1:14" ht="15" customHeight="1" x14ac:dyDescent="0.3">
      <c r="A546" s="21" t="s">
        <v>311</v>
      </c>
      <c r="B546" s="21" t="s">
        <v>321</v>
      </c>
      <c r="C546" s="21" t="s">
        <v>322</v>
      </c>
      <c r="D546" s="21" t="s">
        <v>371</v>
      </c>
      <c r="E546" s="21" t="s">
        <v>212</v>
      </c>
      <c r="F546" s="22">
        <v>-12</v>
      </c>
      <c r="G546" s="21" t="s">
        <v>142</v>
      </c>
      <c r="H546" s="23">
        <v>1000</v>
      </c>
      <c r="I546" s="21" t="s">
        <v>201</v>
      </c>
      <c r="J546" s="21" t="s">
        <v>372</v>
      </c>
      <c r="K546" s="21" t="s">
        <v>370</v>
      </c>
      <c r="L546" s="21" t="s">
        <v>203</v>
      </c>
      <c r="M546" s="23" t="s">
        <v>147</v>
      </c>
      <c r="N546" s="24" t="s">
        <v>370</v>
      </c>
    </row>
    <row r="547" spans="1:14" ht="15" customHeight="1" x14ac:dyDescent="0.3">
      <c r="A547" s="25" t="s">
        <v>311</v>
      </c>
      <c r="B547" s="25" t="s">
        <v>323</v>
      </c>
      <c r="C547" s="25" t="s">
        <v>324</v>
      </c>
      <c r="D547" s="25" t="s">
        <v>371</v>
      </c>
      <c r="E547" s="25" t="s">
        <v>212</v>
      </c>
      <c r="F547" s="26">
        <v>61411</v>
      </c>
      <c r="G547" s="25" t="s">
        <v>142</v>
      </c>
      <c r="H547" s="27">
        <v>1000</v>
      </c>
      <c r="I547" s="25" t="s">
        <v>201</v>
      </c>
      <c r="J547" s="25" t="s">
        <v>372</v>
      </c>
      <c r="K547" s="25" t="s">
        <v>370</v>
      </c>
      <c r="L547" s="25" t="s">
        <v>203</v>
      </c>
      <c r="M547" s="27" t="s">
        <v>147</v>
      </c>
      <c r="N547" s="28" t="s">
        <v>370</v>
      </c>
    </row>
    <row r="548" spans="1:14" ht="15" customHeight="1" x14ac:dyDescent="0.3">
      <c r="A548" s="21" t="s">
        <v>311</v>
      </c>
      <c r="B548" s="21" t="s">
        <v>325</v>
      </c>
      <c r="C548" s="21" t="s">
        <v>227</v>
      </c>
      <c r="D548" s="21" t="s">
        <v>371</v>
      </c>
      <c r="E548" s="21" t="s">
        <v>212</v>
      </c>
      <c r="F548" s="22">
        <v>-5209</v>
      </c>
      <c r="G548" s="21" t="s">
        <v>142</v>
      </c>
      <c r="H548" s="23">
        <v>1000</v>
      </c>
      <c r="I548" s="21" t="s">
        <v>201</v>
      </c>
      <c r="J548" s="21" t="s">
        <v>372</v>
      </c>
      <c r="K548" s="21" t="s">
        <v>370</v>
      </c>
      <c r="L548" s="21" t="s">
        <v>203</v>
      </c>
      <c r="M548" s="23" t="s">
        <v>147</v>
      </c>
      <c r="N548" s="24" t="s">
        <v>370</v>
      </c>
    </row>
    <row r="549" spans="1:14" ht="15" customHeight="1" x14ac:dyDescent="0.3">
      <c r="A549" s="25" t="s">
        <v>311</v>
      </c>
      <c r="B549" s="25" t="s">
        <v>326</v>
      </c>
      <c r="C549" s="25" t="s">
        <v>229</v>
      </c>
      <c r="D549" s="25" t="s">
        <v>371</v>
      </c>
      <c r="E549" s="25" t="s">
        <v>212</v>
      </c>
      <c r="F549" s="26">
        <v>-13398</v>
      </c>
      <c r="G549" s="25" t="s">
        <v>142</v>
      </c>
      <c r="H549" s="27">
        <v>1000</v>
      </c>
      <c r="I549" s="25" t="s">
        <v>201</v>
      </c>
      <c r="J549" s="25" t="s">
        <v>372</v>
      </c>
      <c r="K549" s="25" t="s">
        <v>370</v>
      </c>
      <c r="L549" s="25" t="s">
        <v>203</v>
      </c>
      <c r="M549" s="27" t="s">
        <v>147</v>
      </c>
      <c r="N549" s="28" t="s">
        <v>370</v>
      </c>
    </row>
    <row r="550" spans="1:14" ht="15" customHeight="1" x14ac:dyDescent="0.3">
      <c r="A550" s="21" t="s">
        <v>311</v>
      </c>
      <c r="B550" s="21" t="s">
        <v>327</v>
      </c>
      <c r="C550" s="21" t="s">
        <v>231</v>
      </c>
      <c r="D550" s="21" t="s">
        <v>371</v>
      </c>
      <c r="E550" s="21" t="s">
        <v>212</v>
      </c>
      <c r="F550" s="22">
        <v>-8842</v>
      </c>
      <c r="G550" s="21" t="s">
        <v>142</v>
      </c>
      <c r="H550" s="23">
        <v>1000</v>
      </c>
      <c r="I550" s="21" t="s">
        <v>201</v>
      </c>
      <c r="J550" s="21" t="s">
        <v>372</v>
      </c>
      <c r="K550" s="21" t="s">
        <v>370</v>
      </c>
      <c r="L550" s="21" t="s">
        <v>203</v>
      </c>
      <c r="M550" s="23" t="s">
        <v>147</v>
      </c>
      <c r="N550" s="24" t="s">
        <v>370</v>
      </c>
    </row>
    <row r="551" spans="1:14" ht="15" customHeight="1" x14ac:dyDescent="0.3">
      <c r="A551" s="25" t="s">
        <v>311</v>
      </c>
      <c r="B551" s="25" t="s">
        <v>328</v>
      </c>
      <c r="C551" s="25" t="s">
        <v>247</v>
      </c>
      <c r="D551" s="25" t="s">
        <v>371</v>
      </c>
      <c r="E551" s="25" t="s">
        <v>212</v>
      </c>
      <c r="F551" s="26">
        <v>522</v>
      </c>
      <c r="G551" s="25" t="s">
        <v>142</v>
      </c>
      <c r="H551" s="27">
        <v>1000</v>
      </c>
      <c r="I551" s="25" t="s">
        <v>201</v>
      </c>
      <c r="J551" s="25" t="s">
        <v>372</v>
      </c>
      <c r="K551" s="25" t="s">
        <v>370</v>
      </c>
      <c r="L551" s="25" t="s">
        <v>203</v>
      </c>
      <c r="M551" s="27" t="s">
        <v>147</v>
      </c>
      <c r="N551" s="28" t="s">
        <v>370</v>
      </c>
    </row>
    <row r="552" spans="1:14" ht="15" customHeight="1" x14ac:dyDescent="0.3">
      <c r="A552" s="21" t="s">
        <v>311</v>
      </c>
      <c r="B552" s="21" t="s">
        <v>329</v>
      </c>
      <c r="C552" s="21" t="s">
        <v>251</v>
      </c>
      <c r="D552" s="21" t="s">
        <v>371</v>
      </c>
      <c r="E552" s="21" t="s">
        <v>212</v>
      </c>
      <c r="F552" s="22">
        <v>1351</v>
      </c>
      <c r="G552" s="21" t="s">
        <v>142</v>
      </c>
      <c r="H552" s="23">
        <v>1000</v>
      </c>
      <c r="I552" s="21" t="s">
        <v>201</v>
      </c>
      <c r="J552" s="21" t="s">
        <v>372</v>
      </c>
      <c r="K552" s="21" t="s">
        <v>370</v>
      </c>
      <c r="L552" s="21" t="s">
        <v>203</v>
      </c>
      <c r="M552" s="23" t="s">
        <v>147</v>
      </c>
      <c r="N552" s="24" t="s">
        <v>370</v>
      </c>
    </row>
    <row r="553" spans="1:14" ht="15" customHeight="1" x14ac:dyDescent="0.3">
      <c r="A553" s="25" t="s">
        <v>311</v>
      </c>
      <c r="B553" s="25" t="s">
        <v>330</v>
      </c>
      <c r="C553" s="25" t="s">
        <v>331</v>
      </c>
      <c r="D553" s="25" t="s">
        <v>371</v>
      </c>
      <c r="E553" s="25" t="s">
        <v>212</v>
      </c>
      <c r="F553" s="26">
        <v>3796</v>
      </c>
      <c r="G553" s="25" t="s">
        <v>142</v>
      </c>
      <c r="H553" s="27">
        <v>1000</v>
      </c>
      <c r="I553" s="25" t="s">
        <v>201</v>
      </c>
      <c r="J553" s="25" t="s">
        <v>372</v>
      </c>
      <c r="K553" s="25" t="s">
        <v>370</v>
      </c>
      <c r="L553" s="25" t="s">
        <v>203</v>
      </c>
      <c r="M553" s="27" t="s">
        <v>147</v>
      </c>
      <c r="N553" s="28" t="s">
        <v>370</v>
      </c>
    </row>
    <row r="554" spans="1:14" ht="15" customHeight="1" x14ac:dyDescent="0.3">
      <c r="A554" s="21" t="s">
        <v>311</v>
      </c>
      <c r="B554" s="21" t="s">
        <v>332</v>
      </c>
      <c r="C554" s="21" t="s">
        <v>333</v>
      </c>
      <c r="D554" s="21" t="s">
        <v>371</v>
      </c>
      <c r="E554" s="21" t="s">
        <v>212</v>
      </c>
      <c r="F554" s="22">
        <v>202169</v>
      </c>
      <c r="G554" s="21" t="s">
        <v>142</v>
      </c>
      <c r="H554" s="23">
        <v>1000</v>
      </c>
      <c r="I554" s="21" t="s">
        <v>201</v>
      </c>
      <c r="J554" s="21" t="s">
        <v>372</v>
      </c>
      <c r="K554" s="21" t="s">
        <v>370</v>
      </c>
      <c r="L554" s="21" t="s">
        <v>203</v>
      </c>
      <c r="M554" s="23" t="s">
        <v>147</v>
      </c>
      <c r="N554" s="24" t="s">
        <v>370</v>
      </c>
    </row>
    <row r="555" spans="1:14" ht="15" customHeight="1" x14ac:dyDescent="0.3">
      <c r="A555" s="25" t="s">
        <v>311</v>
      </c>
      <c r="B555" s="25" t="s">
        <v>334</v>
      </c>
      <c r="C555" s="25" t="s">
        <v>335</v>
      </c>
      <c r="D555" s="25" t="s">
        <v>371</v>
      </c>
      <c r="E555" s="25" t="s">
        <v>212</v>
      </c>
      <c r="F555" s="26">
        <v>-81670</v>
      </c>
      <c r="G555" s="25" t="s">
        <v>142</v>
      </c>
      <c r="H555" s="27">
        <v>1000</v>
      </c>
      <c r="I555" s="25" t="s">
        <v>201</v>
      </c>
      <c r="J555" s="25" t="s">
        <v>372</v>
      </c>
      <c r="K555" s="25" t="s">
        <v>370</v>
      </c>
      <c r="L555" s="25" t="s">
        <v>203</v>
      </c>
      <c r="M555" s="27" t="s">
        <v>147</v>
      </c>
      <c r="N555" s="28" t="s">
        <v>370</v>
      </c>
    </row>
    <row r="556" spans="1:14" ht="15" customHeight="1" x14ac:dyDescent="0.3">
      <c r="A556" s="21" t="s">
        <v>311</v>
      </c>
      <c r="B556" s="21" t="s">
        <v>338</v>
      </c>
      <c r="C556" s="21" t="s">
        <v>339</v>
      </c>
      <c r="D556" s="21" t="s">
        <v>371</v>
      </c>
      <c r="E556" s="21" t="s">
        <v>212</v>
      </c>
      <c r="F556" s="22">
        <v>-8545</v>
      </c>
      <c r="G556" s="21" t="s">
        <v>142</v>
      </c>
      <c r="H556" s="23">
        <v>1000</v>
      </c>
      <c r="I556" s="21" t="s">
        <v>201</v>
      </c>
      <c r="J556" s="21" t="s">
        <v>372</v>
      </c>
      <c r="K556" s="21" t="s">
        <v>370</v>
      </c>
      <c r="L556" s="21" t="s">
        <v>203</v>
      </c>
      <c r="M556" s="23" t="s">
        <v>147</v>
      </c>
      <c r="N556" s="24" t="s">
        <v>370</v>
      </c>
    </row>
    <row r="557" spans="1:14" ht="15" customHeight="1" x14ac:dyDescent="0.3">
      <c r="A557" s="25" t="s">
        <v>311</v>
      </c>
      <c r="B557" s="25" t="s">
        <v>340</v>
      </c>
      <c r="C557" s="25" t="s">
        <v>341</v>
      </c>
      <c r="D557" s="25" t="s">
        <v>371</v>
      </c>
      <c r="E557" s="25" t="s">
        <v>212</v>
      </c>
      <c r="F557" s="26">
        <v>-10155</v>
      </c>
      <c r="G557" s="25" t="s">
        <v>142</v>
      </c>
      <c r="H557" s="27">
        <v>1000</v>
      </c>
      <c r="I557" s="25" t="s">
        <v>201</v>
      </c>
      <c r="J557" s="25" t="s">
        <v>372</v>
      </c>
      <c r="K557" s="25" t="s">
        <v>370</v>
      </c>
      <c r="L557" s="25" t="s">
        <v>203</v>
      </c>
      <c r="M557" s="27" t="s">
        <v>147</v>
      </c>
      <c r="N557" s="28" t="s">
        <v>370</v>
      </c>
    </row>
    <row r="558" spans="1:14" ht="15" customHeight="1" x14ac:dyDescent="0.3">
      <c r="A558" s="21" t="s">
        <v>311</v>
      </c>
      <c r="B558" s="21" t="s">
        <v>342</v>
      </c>
      <c r="C558" s="21" t="s">
        <v>343</v>
      </c>
      <c r="D558" s="21" t="s">
        <v>371</v>
      </c>
      <c r="E558" s="21" t="s">
        <v>212</v>
      </c>
      <c r="F558" s="22">
        <v>-6595</v>
      </c>
      <c r="G558" s="21" t="s">
        <v>142</v>
      </c>
      <c r="H558" s="23">
        <v>1000</v>
      </c>
      <c r="I558" s="21" t="s">
        <v>201</v>
      </c>
      <c r="J558" s="21" t="s">
        <v>372</v>
      </c>
      <c r="K558" s="21" t="s">
        <v>370</v>
      </c>
      <c r="L558" s="21" t="s">
        <v>203</v>
      </c>
      <c r="M558" s="23" t="s">
        <v>147</v>
      </c>
      <c r="N558" s="24" t="s">
        <v>370</v>
      </c>
    </row>
    <row r="559" spans="1:14" ht="15" customHeight="1" x14ac:dyDescent="0.3">
      <c r="A559" s="25" t="s">
        <v>311</v>
      </c>
      <c r="B559" s="25" t="s">
        <v>346</v>
      </c>
      <c r="C559" s="25" t="s">
        <v>347</v>
      </c>
      <c r="D559" s="25" t="s">
        <v>371</v>
      </c>
      <c r="E559" s="25" t="s">
        <v>212</v>
      </c>
      <c r="F559" s="26">
        <v>-106965</v>
      </c>
      <c r="G559" s="25" t="s">
        <v>142</v>
      </c>
      <c r="H559" s="27">
        <v>1000</v>
      </c>
      <c r="I559" s="25" t="s">
        <v>201</v>
      </c>
      <c r="J559" s="25" t="s">
        <v>372</v>
      </c>
      <c r="K559" s="25" t="s">
        <v>370</v>
      </c>
      <c r="L559" s="25" t="s">
        <v>203</v>
      </c>
      <c r="M559" s="27" t="s">
        <v>147</v>
      </c>
      <c r="N559" s="28" t="s">
        <v>370</v>
      </c>
    </row>
    <row r="560" spans="1:14" ht="15" customHeight="1" x14ac:dyDescent="0.3">
      <c r="A560" s="21" t="s">
        <v>311</v>
      </c>
      <c r="B560" s="21" t="s">
        <v>348</v>
      </c>
      <c r="C560" s="21" t="s">
        <v>349</v>
      </c>
      <c r="D560" s="21" t="s">
        <v>371</v>
      </c>
      <c r="E560" s="21" t="s">
        <v>212</v>
      </c>
      <c r="F560" s="22">
        <v>11595</v>
      </c>
      <c r="G560" s="21" t="s">
        <v>142</v>
      </c>
      <c r="H560" s="23">
        <v>1000</v>
      </c>
      <c r="I560" s="21" t="s">
        <v>201</v>
      </c>
      <c r="J560" s="21" t="s">
        <v>372</v>
      </c>
      <c r="K560" s="21" t="s">
        <v>370</v>
      </c>
      <c r="L560" s="21" t="s">
        <v>203</v>
      </c>
      <c r="M560" s="23" t="s">
        <v>147</v>
      </c>
      <c r="N560" s="24" t="s">
        <v>370</v>
      </c>
    </row>
    <row r="561" spans="1:14" ht="15" customHeight="1" x14ac:dyDescent="0.3">
      <c r="A561" s="25" t="s">
        <v>311</v>
      </c>
      <c r="B561" s="25" t="s">
        <v>352</v>
      </c>
      <c r="C561" s="25" t="s">
        <v>353</v>
      </c>
      <c r="D561" s="25" t="s">
        <v>371</v>
      </c>
      <c r="E561" s="25" t="s">
        <v>212</v>
      </c>
      <c r="F561" s="26">
        <v>11595</v>
      </c>
      <c r="G561" s="25" t="s">
        <v>142</v>
      </c>
      <c r="H561" s="27">
        <v>1000</v>
      </c>
      <c r="I561" s="25" t="s">
        <v>201</v>
      </c>
      <c r="J561" s="25" t="s">
        <v>372</v>
      </c>
      <c r="K561" s="25" t="s">
        <v>370</v>
      </c>
      <c r="L561" s="25" t="s">
        <v>203</v>
      </c>
      <c r="M561" s="27" t="s">
        <v>147</v>
      </c>
      <c r="N561" s="28" t="s">
        <v>370</v>
      </c>
    </row>
    <row r="562" spans="1:14" ht="15" customHeight="1" x14ac:dyDescent="0.3">
      <c r="A562" s="21" t="s">
        <v>311</v>
      </c>
      <c r="B562" s="21" t="s">
        <v>354</v>
      </c>
      <c r="C562" s="21" t="s">
        <v>355</v>
      </c>
      <c r="D562" s="21" t="s">
        <v>371</v>
      </c>
      <c r="E562" s="21" t="s">
        <v>212</v>
      </c>
      <c r="F562" s="22">
        <v>106799</v>
      </c>
      <c r="G562" s="21" t="s">
        <v>142</v>
      </c>
      <c r="H562" s="23">
        <v>1000</v>
      </c>
      <c r="I562" s="21" t="s">
        <v>201</v>
      </c>
      <c r="J562" s="21" t="s">
        <v>372</v>
      </c>
      <c r="K562" s="21" t="s">
        <v>370</v>
      </c>
      <c r="L562" s="21" t="s">
        <v>203</v>
      </c>
      <c r="M562" s="23" t="s">
        <v>147</v>
      </c>
      <c r="N562" s="24" t="s">
        <v>370</v>
      </c>
    </row>
    <row r="563" spans="1:14" ht="15" customHeight="1" x14ac:dyDescent="0.3">
      <c r="A563" s="25" t="s">
        <v>311</v>
      </c>
      <c r="B563" s="25" t="s">
        <v>356</v>
      </c>
      <c r="C563" s="25" t="s">
        <v>357</v>
      </c>
      <c r="D563" s="25" t="s">
        <v>371</v>
      </c>
      <c r="E563" s="25" t="s">
        <v>212</v>
      </c>
      <c r="F563" s="26">
        <v>750345</v>
      </c>
      <c r="G563" s="25" t="s">
        <v>142</v>
      </c>
      <c r="H563" s="27">
        <v>1000</v>
      </c>
      <c r="I563" s="25" t="s">
        <v>201</v>
      </c>
      <c r="J563" s="25" t="s">
        <v>372</v>
      </c>
      <c r="K563" s="25" t="s">
        <v>370</v>
      </c>
      <c r="L563" s="25" t="s">
        <v>203</v>
      </c>
      <c r="M563" s="27" t="s">
        <v>147</v>
      </c>
      <c r="N563" s="28" t="s">
        <v>370</v>
      </c>
    </row>
    <row r="564" spans="1:14" ht="15" customHeight="1" x14ac:dyDescent="0.3">
      <c r="A564" s="21" t="s">
        <v>311</v>
      </c>
      <c r="B564" s="21" t="s">
        <v>358</v>
      </c>
      <c r="C564" s="21" t="s">
        <v>359</v>
      </c>
      <c r="D564" s="21" t="s">
        <v>371</v>
      </c>
      <c r="E564" s="21" t="s">
        <v>212</v>
      </c>
      <c r="F564" s="22">
        <v>857144</v>
      </c>
      <c r="G564" s="21" t="s">
        <v>142</v>
      </c>
      <c r="H564" s="23">
        <v>1000</v>
      </c>
      <c r="I564" s="21" t="s">
        <v>201</v>
      </c>
      <c r="J564" s="21" t="s">
        <v>372</v>
      </c>
      <c r="K564" s="21" t="s">
        <v>370</v>
      </c>
      <c r="L564" s="21" t="s">
        <v>203</v>
      </c>
      <c r="M564" s="23" t="s">
        <v>147</v>
      </c>
      <c r="N564" s="24" t="s">
        <v>370</v>
      </c>
    </row>
    <row r="565" spans="1:14" ht="15" customHeight="1" x14ac:dyDescent="0.3">
      <c r="A565" s="25" t="s">
        <v>311</v>
      </c>
      <c r="B565" s="25" t="s">
        <v>312</v>
      </c>
      <c r="C565" s="25" t="s">
        <v>313</v>
      </c>
      <c r="D565" s="25" t="s">
        <v>373</v>
      </c>
      <c r="E565" s="25" t="s">
        <v>212</v>
      </c>
      <c r="F565" s="26">
        <v>43460</v>
      </c>
      <c r="G565" s="25" t="s">
        <v>142</v>
      </c>
      <c r="H565" s="27">
        <v>1000</v>
      </c>
      <c r="I565" s="25" t="s">
        <v>201</v>
      </c>
      <c r="J565" s="25" t="s">
        <v>206</v>
      </c>
      <c r="K565" s="25" t="s">
        <v>370</v>
      </c>
      <c r="L565" s="25" t="s">
        <v>207</v>
      </c>
      <c r="M565" s="27" t="s">
        <v>147</v>
      </c>
      <c r="N565" s="28" t="s">
        <v>370</v>
      </c>
    </row>
    <row r="566" spans="1:14" ht="15" customHeight="1" x14ac:dyDescent="0.3">
      <c r="A566" s="21" t="s">
        <v>311</v>
      </c>
      <c r="B566" s="21" t="s">
        <v>315</v>
      </c>
      <c r="C566" s="21" t="s">
        <v>316</v>
      </c>
      <c r="D566" s="21" t="s">
        <v>373</v>
      </c>
      <c r="E566" s="21" t="s">
        <v>212</v>
      </c>
      <c r="F566" s="22">
        <v>9496</v>
      </c>
      <c r="G566" s="21" t="s">
        <v>142</v>
      </c>
      <c r="H566" s="23">
        <v>1000</v>
      </c>
      <c r="I566" s="21" t="s">
        <v>201</v>
      </c>
      <c r="J566" s="21" t="s">
        <v>206</v>
      </c>
      <c r="K566" s="21" t="s">
        <v>370</v>
      </c>
      <c r="L566" s="21" t="s">
        <v>207</v>
      </c>
      <c r="M566" s="23" t="s">
        <v>147</v>
      </c>
      <c r="N566" s="24" t="s">
        <v>370</v>
      </c>
    </row>
    <row r="567" spans="1:14" ht="15" customHeight="1" x14ac:dyDescent="0.3">
      <c r="A567" s="25" t="s">
        <v>311</v>
      </c>
      <c r="B567" s="25" t="s">
        <v>317</v>
      </c>
      <c r="C567" s="25" t="s">
        <v>318</v>
      </c>
      <c r="D567" s="25" t="s">
        <v>373</v>
      </c>
      <c r="E567" s="25" t="s">
        <v>212</v>
      </c>
      <c r="F567" s="26">
        <v>34647</v>
      </c>
      <c r="G567" s="25" t="s">
        <v>142</v>
      </c>
      <c r="H567" s="27">
        <v>1000</v>
      </c>
      <c r="I567" s="25" t="s">
        <v>201</v>
      </c>
      <c r="J567" s="25" t="s">
        <v>206</v>
      </c>
      <c r="K567" s="25" t="s">
        <v>370</v>
      </c>
      <c r="L567" s="25" t="s">
        <v>207</v>
      </c>
      <c r="M567" s="27" t="s">
        <v>147</v>
      </c>
      <c r="N567" s="28" t="s">
        <v>370</v>
      </c>
    </row>
    <row r="568" spans="1:14" ht="15" customHeight="1" x14ac:dyDescent="0.3">
      <c r="A568" s="21" t="s">
        <v>311</v>
      </c>
      <c r="B568" s="21" t="s">
        <v>319</v>
      </c>
      <c r="C568" s="21" t="s">
        <v>320</v>
      </c>
      <c r="D568" s="21" t="s">
        <v>373</v>
      </c>
      <c r="E568" s="21" t="s">
        <v>212</v>
      </c>
      <c r="F568" s="22">
        <v>4191</v>
      </c>
      <c r="G568" s="21" t="s">
        <v>142</v>
      </c>
      <c r="H568" s="23">
        <v>1000</v>
      </c>
      <c r="I568" s="21" t="s">
        <v>201</v>
      </c>
      <c r="J568" s="21" t="s">
        <v>206</v>
      </c>
      <c r="K568" s="21" t="s">
        <v>370</v>
      </c>
      <c r="L568" s="21" t="s">
        <v>207</v>
      </c>
      <c r="M568" s="23" t="s">
        <v>147</v>
      </c>
      <c r="N568" s="24" t="s">
        <v>370</v>
      </c>
    </row>
    <row r="569" spans="1:14" ht="15" customHeight="1" x14ac:dyDescent="0.3">
      <c r="A569" s="25" t="s">
        <v>311</v>
      </c>
      <c r="B569" s="25" t="s">
        <v>321</v>
      </c>
      <c r="C569" s="25" t="s">
        <v>322</v>
      </c>
      <c r="D569" s="25" t="s">
        <v>373</v>
      </c>
      <c r="E569" s="25" t="s">
        <v>212</v>
      </c>
      <c r="F569" s="26">
        <v>-321</v>
      </c>
      <c r="G569" s="25" t="s">
        <v>142</v>
      </c>
      <c r="H569" s="27">
        <v>1000</v>
      </c>
      <c r="I569" s="25" t="s">
        <v>201</v>
      </c>
      <c r="J569" s="25" t="s">
        <v>206</v>
      </c>
      <c r="K569" s="25" t="s">
        <v>370</v>
      </c>
      <c r="L569" s="25" t="s">
        <v>207</v>
      </c>
      <c r="M569" s="27" t="s">
        <v>147</v>
      </c>
      <c r="N569" s="28" t="s">
        <v>370</v>
      </c>
    </row>
    <row r="570" spans="1:14" ht="15" customHeight="1" x14ac:dyDescent="0.3">
      <c r="A570" s="21" t="s">
        <v>311</v>
      </c>
      <c r="B570" s="21" t="s">
        <v>323</v>
      </c>
      <c r="C570" s="21" t="s">
        <v>324</v>
      </c>
      <c r="D570" s="21" t="s">
        <v>373</v>
      </c>
      <c r="E570" s="21" t="s">
        <v>212</v>
      </c>
      <c r="F570" s="22">
        <v>17051</v>
      </c>
      <c r="G570" s="21" t="s">
        <v>142</v>
      </c>
      <c r="H570" s="23">
        <v>1000</v>
      </c>
      <c r="I570" s="21" t="s">
        <v>201</v>
      </c>
      <c r="J570" s="21" t="s">
        <v>206</v>
      </c>
      <c r="K570" s="21" t="s">
        <v>370</v>
      </c>
      <c r="L570" s="21" t="s">
        <v>207</v>
      </c>
      <c r="M570" s="23" t="s">
        <v>147</v>
      </c>
      <c r="N570" s="24" t="s">
        <v>370</v>
      </c>
    </row>
    <row r="571" spans="1:14" ht="15" customHeight="1" x14ac:dyDescent="0.3">
      <c r="A571" s="25" t="s">
        <v>311</v>
      </c>
      <c r="B571" s="25" t="s">
        <v>325</v>
      </c>
      <c r="C571" s="25" t="s">
        <v>227</v>
      </c>
      <c r="D571" s="25" t="s">
        <v>373</v>
      </c>
      <c r="E571" s="25" t="s">
        <v>212</v>
      </c>
      <c r="F571" s="26">
        <v>37741</v>
      </c>
      <c r="G571" s="25" t="s">
        <v>142</v>
      </c>
      <c r="H571" s="27">
        <v>1000</v>
      </c>
      <c r="I571" s="25" t="s">
        <v>201</v>
      </c>
      <c r="J571" s="25" t="s">
        <v>206</v>
      </c>
      <c r="K571" s="25" t="s">
        <v>370</v>
      </c>
      <c r="L571" s="25" t="s">
        <v>207</v>
      </c>
      <c r="M571" s="27" t="s">
        <v>147</v>
      </c>
      <c r="N571" s="28" t="s">
        <v>370</v>
      </c>
    </row>
    <row r="572" spans="1:14" ht="15" customHeight="1" x14ac:dyDescent="0.3">
      <c r="A572" s="21" t="s">
        <v>311</v>
      </c>
      <c r="B572" s="21" t="s">
        <v>326</v>
      </c>
      <c r="C572" s="21" t="s">
        <v>229</v>
      </c>
      <c r="D572" s="21" t="s">
        <v>373</v>
      </c>
      <c r="E572" s="21" t="s">
        <v>212</v>
      </c>
      <c r="F572" s="22">
        <v>-1850</v>
      </c>
      <c r="G572" s="21" t="s">
        <v>142</v>
      </c>
      <c r="H572" s="23">
        <v>1000</v>
      </c>
      <c r="I572" s="21" t="s">
        <v>201</v>
      </c>
      <c r="J572" s="21" t="s">
        <v>206</v>
      </c>
      <c r="K572" s="21" t="s">
        <v>370</v>
      </c>
      <c r="L572" s="21" t="s">
        <v>207</v>
      </c>
      <c r="M572" s="23" t="s">
        <v>147</v>
      </c>
      <c r="N572" s="24" t="s">
        <v>370</v>
      </c>
    </row>
    <row r="573" spans="1:14" ht="15" customHeight="1" x14ac:dyDescent="0.3">
      <c r="A573" s="25" t="s">
        <v>311</v>
      </c>
      <c r="B573" s="25" t="s">
        <v>327</v>
      </c>
      <c r="C573" s="25" t="s">
        <v>231</v>
      </c>
      <c r="D573" s="25" t="s">
        <v>373</v>
      </c>
      <c r="E573" s="25" t="s">
        <v>212</v>
      </c>
      <c r="F573" s="26">
        <v>5899</v>
      </c>
      <c r="G573" s="25" t="s">
        <v>142</v>
      </c>
      <c r="H573" s="27">
        <v>1000</v>
      </c>
      <c r="I573" s="25" t="s">
        <v>201</v>
      </c>
      <c r="J573" s="25" t="s">
        <v>206</v>
      </c>
      <c r="K573" s="25" t="s">
        <v>370</v>
      </c>
      <c r="L573" s="25" t="s">
        <v>207</v>
      </c>
      <c r="M573" s="27" t="s">
        <v>147</v>
      </c>
      <c r="N573" s="28" t="s">
        <v>370</v>
      </c>
    </row>
    <row r="574" spans="1:14" ht="15" customHeight="1" x14ac:dyDescent="0.3">
      <c r="A574" s="21" t="s">
        <v>311</v>
      </c>
      <c r="B574" s="21" t="s">
        <v>328</v>
      </c>
      <c r="C574" s="21" t="s">
        <v>247</v>
      </c>
      <c r="D574" s="21" t="s">
        <v>373</v>
      </c>
      <c r="E574" s="21" t="s">
        <v>212</v>
      </c>
      <c r="F574" s="22">
        <v>-2405</v>
      </c>
      <c r="G574" s="21" t="s">
        <v>142</v>
      </c>
      <c r="H574" s="23">
        <v>1000</v>
      </c>
      <c r="I574" s="21" t="s">
        <v>201</v>
      </c>
      <c r="J574" s="21" t="s">
        <v>206</v>
      </c>
      <c r="K574" s="21" t="s">
        <v>370</v>
      </c>
      <c r="L574" s="21" t="s">
        <v>207</v>
      </c>
      <c r="M574" s="23" t="s">
        <v>147</v>
      </c>
      <c r="N574" s="24" t="s">
        <v>370</v>
      </c>
    </row>
    <row r="575" spans="1:14" ht="15" customHeight="1" x14ac:dyDescent="0.3">
      <c r="A575" s="25" t="s">
        <v>311</v>
      </c>
      <c r="B575" s="25" t="s">
        <v>329</v>
      </c>
      <c r="C575" s="25" t="s">
        <v>251</v>
      </c>
      <c r="D575" s="25" t="s">
        <v>373</v>
      </c>
      <c r="E575" s="25" t="s">
        <v>212</v>
      </c>
      <c r="F575" s="26">
        <v>5964</v>
      </c>
      <c r="G575" s="25" t="s">
        <v>142</v>
      </c>
      <c r="H575" s="27">
        <v>1000</v>
      </c>
      <c r="I575" s="25" t="s">
        <v>201</v>
      </c>
      <c r="J575" s="25" t="s">
        <v>206</v>
      </c>
      <c r="K575" s="25" t="s">
        <v>370</v>
      </c>
      <c r="L575" s="25" t="s">
        <v>207</v>
      </c>
      <c r="M575" s="27" t="s">
        <v>147</v>
      </c>
      <c r="N575" s="28" t="s">
        <v>370</v>
      </c>
    </row>
    <row r="576" spans="1:14" ht="15" customHeight="1" x14ac:dyDescent="0.3">
      <c r="A576" s="21" t="s">
        <v>311</v>
      </c>
      <c r="B576" s="21" t="s">
        <v>330</v>
      </c>
      <c r="C576" s="21" t="s">
        <v>331</v>
      </c>
      <c r="D576" s="21" t="s">
        <v>373</v>
      </c>
      <c r="E576" s="21" t="s">
        <v>212</v>
      </c>
      <c r="F576" s="22">
        <v>-3102</v>
      </c>
      <c r="G576" s="21" t="s">
        <v>142</v>
      </c>
      <c r="H576" s="23">
        <v>1000</v>
      </c>
      <c r="I576" s="21" t="s">
        <v>201</v>
      </c>
      <c r="J576" s="21" t="s">
        <v>206</v>
      </c>
      <c r="K576" s="21" t="s">
        <v>370</v>
      </c>
      <c r="L576" s="21" t="s">
        <v>207</v>
      </c>
      <c r="M576" s="23" t="s">
        <v>147</v>
      </c>
      <c r="N576" s="24" t="s">
        <v>370</v>
      </c>
    </row>
    <row r="577" spans="1:14" ht="15" customHeight="1" x14ac:dyDescent="0.3">
      <c r="A577" s="25" t="s">
        <v>311</v>
      </c>
      <c r="B577" s="25" t="s">
        <v>332</v>
      </c>
      <c r="C577" s="25" t="s">
        <v>333</v>
      </c>
      <c r="D577" s="25" t="s">
        <v>373</v>
      </c>
      <c r="E577" s="25" t="s">
        <v>212</v>
      </c>
      <c r="F577" s="26">
        <v>150771</v>
      </c>
      <c r="G577" s="25" t="s">
        <v>142</v>
      </c>
      <c r="H577" s="27">
        <v>1000</v>
      </c>
      <c r="I577" s="25" t="s">
        <v>201</v>
      </c>
      <c r="J577" s="25" t="s">
        <v>206</v>
      </c>
      <c r="K577" s="25" t="s">
        <v>370</v>
      </c>
      <c r="L577" s="25" t="s">
        <v>207</v>
      </c>
      <c r="M577" s="27" t="s">
        <v>147</v>
      </c>
      <c r="N577" s="28" t="s">
        <v>370</v>
      </c>
    </row>
    <row r="578" spans="1:14" ht="15" customHeight="1" x14ac:dyDescent="0.3">
      <c r="A578" s="21" t="s">
        <v>311</v>
      </c>
      <c r="B578" s="21" t="s">
        <v>334</v>
      </c>
      <c r="C578" s="21" t="s">
        <v>335</v>
      </c>
      <c r="D578" s="21" t="s">
        <v>373</v>
      </c>
      <c r="E578" s="21" t="s">
        <v>212</v>
      </c>
      <c r="F578" s="22">
        <v>-56155</v>
      </c>
      <c r="G578" s="21" t="s">
        <v>142</v>
      </c>
      <c r="H578" s="23">
        <v>1000</v>
      </c>
      <c r="I578" s="21" t="s">
        <v>201</v>
      </c>
      <c r="J578" s="21" t="s">
        <v>206</v>
      </c>
      <c r="K578" s="21" t="s">
        <v>370</v>
      </c>
      <c r="L578" s="21" t="s">
        <v>207</v>
      </c>
      <c r="M578" s="23" t="s">
        <v>147</v>
      </c>
      <c r="N578" s="24" t="s">
        <v>370</v>
      </c>
    </row>
    <row r="579" spans="1:14" ht="15" customHeight="1" x14ac:dyDescent="0.3">
      <c r="A579" s="25" t="s">
        <v>311</v>
      </c>
      <c r="B579" s="25" t="s">
        <v>336</v>
      </c>
      <c r="C579" s="25" t="s">
        <v>337</v>
      </c>
      <c r="D579" s="25" t="s">
        <v>373</v>
      </c>
      <c r="E579" s="25" t="s">
        <v>212</v>
      </c>
      <c r="F579" s="26">
        <v>42391</v>
      </c>
      <c r="G579" s="25" t="s">
        <v>142</v>
      </c>
      <c r="H579" s="27">
        <v>1000</v>
      </c>
      <c r="I579" s="25" t="s">
        <v>201</v>
      </c>
      <c r="J579" s="25" t="s">
        <v>206</v>
      </c>
      <c r="K579" s="25" t="s">
        <v>370</v>
      </c>
      <c r="L579" s="25" t="s">
        <v>207</v>
      </c>
      <c r="M579" s="27" t="s">
        <v>147</v>
      </c>
      <c r="N579" s="28" t="s">
        <v>370</v>
      </c>
    </row>
    <row r="580" spans="1:14" ht="15" customHeight="1" x14ac:dyDescent="0.3">
      <c r="A580" s="21" t="s">
        <v>311</v>
      </c>
      <c r="B580" s="21" t="s">
        <v>338</v>
      </c>
      <c r="C580" s="21" t="s">
        <v>339</v>
      </c>
      <c r="D580" s="21" t="s">
        <v>373</v>
      </c>
      <c r="E580" s="21" t="s">
        <v>212</v>
      </c>
      <c r="F580" s="22">
        <v>-2853</v>
      </c>
      <c r="G580" s="21" t="s">
        <v>142</v>
      </c>
      <c r="H580" s="23">
        <v>1000</v>
      </c>
      <c r="I580" s="21" t="s">
        <v>201</v>
      </c>
      <c r="J580" s="21" t="s">
        <v>206</v>
      </c>
      <c r="K580" s="21" t="s">
        <v>370</v>
      </c>
      <c r="L580" s="21" t="s">
        <v>207</v>
      </c>
      <c r="M580" s="23" t="s">
        <v>147</v>
      </c>
      <c r="N580" s="24" t="s">
        <v>370</v>
      </c>
    </row>
    <row r="581" spans="1:14" ht="15" customHeight="1" x14ac:dyDescent="0.3">
      <c r="A581" s="25" t="s">
        <v>311</v>
      </c>
      <c r="B581" s="25" t="s">
        <v>340</v>
      </c>
      <c r="C581" s="25" t="s">
        <v>341</v>
      </c>
      <c r="D581" s="25" t="s">
        <v>373</v>
      </c>
      <c r="E581" s="25" t="s">
        <v>212</v>
      </c>
      <c r="F581" s="26">
        <v>-132</v>
      </c>
      <c r="G581" s="25" t="s">
        <v>142</v>
      </c>
      <c r="H581" s="27">
        <v>1000</v>
      </c>
      <c r="I581" s="25" t="s">
        <v>201</v>
      </c>
      <c r="J581" s="25" t="s">
        <v>206</v>
      </c>
      <c r="K581" s="25" t="s">
        <v>370</v>
      </c>
      <c r="L581" s="25" t="s">
        <v>207</v>
      </c>
      <c r="M581" s="27" t="s">
        <v>147</v>
      </c>
      <c r="N581" s="28" t="s">
        <v>370</v>
      </c>
    </row>
    <row r="582" spans="1:14" ht="15" customHeight="1" x14ac:dyDescent="0.3">
      <c r="A582" s="21" t="s">
        <v>311</v>
      </c>
      <c r="B582" s="21" t="s">
        <v>346</v>
      </c>
      <c r="C582" s="21" t="s">
        <v>347</v>
      </c>
      <c r="D582" s="21" t="s">
        <v>373</v>
      </c>
      <c r="E582" s="21" t="s">
        <v>212</v>
      </c>
      <c r="F582" s="22">
        <v>-16749</v>
      </c>
      <c r="G582" s="21" t="s">
        <v>142</v>
      </c>
      <c r="H582" s="23">
        <v>1000</v>
      </c>
      <c r="I582" s="21" t="s">
        <v>201</v>
      </c>
      <c r="J582" s="21" t="s">
        <v>206</v>
      </c>
      <c r="K582" s="21" t="s">
        <v>370</v>
      </c>
      <c r="L582" s="21" t="s">
        <v>207</v>
      </c>
      <c r="M582" s="23" t="s">
        <v>147</v>
      </c>
      <c r="N582" s="24" t="s">
        <v>370</v>
      </c>
    </row>
    <row r="583" spans="1:14" ht="15" customHeight="1" x14ac:dyDescent="0.3">
      <c r="A583" s="25" t="s">
        <v>311</v>
      </c>
      <c r="B583" s="25" t="s">
        <v>348</v>
      </c>
      <c r="C583" s="25" t="s">
        <v>349</v>
      </c>
      <c r="D583" s="25" t="s">
        <v>373</v>
      </c>
      <c r="E583" s="25" t="s">
        <v>212</v>
      </c>
      <c r="F583" s="26">
        <v>1922</v>
      </c>
      <c r="G583" s="25" t="s">
        <v>142</v>
      </c>
      <c r="H583" s="27">
        <v>1000</v>
      </c>
      <c r="I583" s="25" t="s">
        <v>201</v>
      </c>
      <c r="J583" s="25" t="s">
        <v>206</v>
      </c>
      <c r="K583" s="25" t="s">
        <v>370</v>
      </c>
      <c r="L583" s="25" t="s">
        <v>207</v>
      </c>
      <c r="M583" s="27" t="s">
        <v>147</v>
      </c>
      <c r="N583" s="28" t="s">
        <v>370</v>
      </c>
    </row>
    <row r="584" spans="1:14" ht="15" customHeight="1" x14ac:dyDescent="0.3">
      <c r="A584" s="21" t="s">
        <v>311</v>
      </c>
      <c r="B584" s="21" t="s">
        <v>368</v>
      </c>
      <c r="C584" s="21" t="s">
        <v>369</v>
      </c>
      <c r="D584" s="21" t="s">
        <v>373</v>
      </c>
      <c r="E584" s="21" t="s">
        <v>212</v>
      </c>
      <c r="F584" s="22">
        <v>-24331</v>
      </c>
      <c r="G584" s="21" t="s">
        <v>142</v>
      </c>
      <c r="H584" s="23">
        <v>1000</v>
      </c>
      <c r="I584" s="21" t="s">
        <v>201</v>
      </c>
      <c r="J584" s="21" t="s">
        <v>206</v>
      </c>
      <c r="K584" s="21" t="s">
        <v>370</v>
      </c>
      <c r="L584" s="21" t="s">
        <v>207</v>
      </c>
      <c r="M584" s="23" t="s">
        <v>147</v>
      </c>
      <c r="N584" s="24" t="s">
        <v>370</v>
      </c>
    </row>
    <row r="585" spans="1:14" ht="15" customHeight="1" x14ac:dyDescent="0.3">
      <c r="A585" s="25" t="s">
        <v>311</v>
      </c>
      <c r="B585" s="25" t="s">
        <v>350</v>
      </c>
      <c r="C585" s="25" t="s">
        <v>351</v>
      </c>
      <c r="D585" s="25" t="s">
        <v>373</v>
      </c>
      <c r="E585" s="25" t="s">
        <v>212</v>
      </c>
      <c r="F585" s="26">
        <v>-9441</v>
      </c>
      <c r="G585" s="25" t="s">
        <v>142</v>
      </c>
      <c r="H585" s="27">
        <v>1000</v>
      </c>
      <c r="I585" s="25" t="s">
        <v>201</v>
      </c>
      <c r="J585" s="25" t="s">
        <v>206</v>
      </c>
      <c r="K585" s="25" t="s">
        <v>370</v>
      </c>
      <c r="L585" s="25" t="s">
        <v>207</v>
      </c>
      <c r="M585" s="27" t="s">
        <v>147</v>
      </c>
      <c r="N585" s="28" t="s">
        <v>370</v>
      </c>
    </row>
    <row r="586" spans="1:14" ht="15" customHeight="1" x14ac:dyDescent="0.3">
      <c r="A586" s="21" t="s">
        <v>311</v>
      </c>
      <c r="B586" s="21" t="s">
        <v>352</v>
      </c>
      <c r="C586" s="21" t="s">
        <v>353</v>
      </c>
      <c r="D586" s="21" t="s">
        <v>373</v>
      </c>
      <c r="E586" s="21" t="s">
        <v>212</v>
      </c>
      <c r="F586" s="22">
        <v>-31850</v>
      </c>
      <c r="G586" s="21" t="s">
        <v>142</v>
      </c>
      <c r="H586" s="23">
        <v>1000</v>
      </c>
      <c r="I586" s="21" t="s">
        <v>201</v>
      </c>
      <c r="J586" s="21" t="s">
        <v>206</v>
      </c>
      <c r="K586" s="21" t="s">
        <v>370</v>
      </c>
      <c r="L586" s="21" t="s">
        <v>207</v>
      </c>
      <c r="M586" s="23" t="s">
        <v>147</v>
      </c>
      <c r="N586" s="24" t="s">
        <v>370</v>
      </c>
    </row>
    <row r="587" spans="1:14" ht="15" customHeight="1" x14ac:dyDescent="0.3">
      <c r="A587" s="25" t="s">
        <v>311</v>
      </c>
      <c r="B587" s="25" t="s">
        <v>354</v>
      </c>
      <c r="C587" s="25" t="s">
        <v>355</v>
      </c>
      <c r="D587" s="25" t="s">
        <v>373</v>
      </c>
      <c r="E587" s="25" t="s">
        <v>212</v>
      </c>
      <c r="F587" s="26">
        <v>102172</v>
      </c>
      <c r="G587" s="25" t="s">
        <v>142</v>
      </c>
      <c r="H587" s="27">
        <v>1000</v>
      </c>
      <c r="I587" s="25" t="s">
        <v>201</v>
      </c>
      <c r="J587" s="25" t="s">
        <v>206</v>
      </c>
      <c r="K587" s="25" t="s">
        <v>370</v>
      </c>
      <c r="L587" s="25" t="s">
        <v>207</v>
      </c>
      <c r="M587" s="27" t="s">
        <v>147</v>
      </c>
      <c r="N587" s="28" t="s">
        <v>370</v>
      </c>
    </row>
    <row r="588" spans="1:14" ht="15" customHeight="1" x14ac:dyDescent="0.3">
      <c r="A588" s="21" t="s">
        <v>311</v>
      </c>
      <c r="B588" s="21" t="s">
        <v>356</v>
      </c>
      <c r="C588" s="21" t="s">
        <v>357</v>
      </c>
      <c r="D588" s="21" t="s">
        <v>373</v>
      </c>
      <c r="E588" s="21" t="s">
        <v>212</v>
      </c>
      <c r="F588" s="22">
        <v>1039124</v>
      </c>
      <c r="G588" s="21" t="s">
        <v>142</v>
      </c>
      <c r="H588" s="23">
        <v>1000</v>
      </c>
      <c r="I588" s="21" t="s">
        <v>201</v>
      </c>
      <c r="J588" s="21" t="s">
        <v>206</v>
      </c>
      <c r="K588" s="21" t="s">
        <v>370</v>
      </c>
      <c r="L588" s="21" t="s">
        <v>207</v>
      </c>
      <c r="M588" s="23" t="s">
        <v>147</v>
      </c>
      <c r="N588" s="24" t="s">
        <v>370</v>
      </c>
    </row>
    <row r="589" spans="1:14" ht="15" customHeight="1" x14ac:dyDescent="0.3">
      <c r="A589" s="25" t="s">
        <v>311</v>
      </c>
      <c r="B589" s="25" t="s">
        <v>358</v>
      </c>
      <c r="C589" s="25" t="s">
        <v>359</v>
      </c>
      <c r="D589" s="25" t="s">
        <v>373</v>
      </c>
      <c r="E589" s="25" t="s">
        <v>212</v>
      </c>
      <c r="F589" s="26">
        <v>1141296</v>
      </c>
      <c r="G589" s="25" t="s">
        <v>142</v>
      </c>
      <c r="H589" s="27">
        <v>1000</v>
      </c>
      <c r="I589" s="25" t="s">
        <v>201</v>
      </c>
      <c r="J589" s="25" t="s">
        <v>206</v>
      </c>
      <c r="K589" s="25" t="s">
        <v>370</v>
      </c>
      <c r="L589" s="25" t="s">
        <v>207</v>
      </c>
      <c r="M589" s="27" t="s">
        <v>147</v>
      </c>
      <c r="N589" s="28" t="s">
        <v>370</v>
      </c>
    </row>
    <row r="590" spans="1:14" ht="15" customHeight="1" x14ac:dyDescent="0.3">
      <c r="A590" s="21" t="s">
        <v>311</v>
      </c>
      <c r="B590" s="21" t="s">
        <v>312</v>
      </c>
      <c r="C590" s="21" t="s">
        <v>313</v>
      </c>
      <c r="D590" s="21" t="s">
        <v>374</v>
      </c>
      <c r="E590" s="21" t="s">
        <v>212</v>
      </c>
      <c r="F590" s="22">
        <v>35135</v>
      </c>
      <c r="G590" s="21" t="s">
        <v>142</v>
      </c>
      <c r="H590" s="23">
        <v>1000</v>
      </c>
      <c r="I590" s="21" t="s">
        <v>201</v>
      </c>
      <c r="J590" s="21" t="s">
        <v>375</v>
      </c>
      <c r="K590" s="21" t="s">
        <v>370</v>
      </c>
      <c r="L590" s="21" t="s">
        <v>207</v>
      </c>
      <c r="M590" s="23" t="s">
        <v>147</v>
      </c>
      <c r="N590" s="24" t="s">
        <v>370</v>
      </c>
    </row>
    <row r="591" spans="1:14" ht="15" customHeight="1" x14ac:dyDescent="0.3">
      <c r="A591" s="25" t="s">
        <v>311</v>
      </c>
      <c r="B591" s="25" t="s">
        <v>317</v>
      </c>
      <c r="C591" s="25" t="s">
        <v>318</v>
      </c>
      <c r="D591" s="25" t="s">
        <v>374</v>
      </c>
      <c r="E591" s="25" t="s">
        <v>212</v>
      </c>
      <c r="F591" s="26">
        <v>31018</v>
      </c>
      <c r="G591" s="25" t="s">
        <v>142</v>
      </c>
      <c r="H591" s="27">
        <v>1000</v>
      </c>
      <c r="I591" s="25" t="s">
        <v>201</v>
      </c>
      <c r="J591" s="25" t="s">
        <v>375</v>
      </c>
      <c r="K591" s="25" t="s">
        <v>370</v>
      </c>
      <c r="L591" s="25" t="s">
        <v>207</v>
      </c>
      <c r="M591" s="27" t="s">
        <v>147</v>
      </c>
      <c r="N591" s="28" t="s">
        <v>370</v>
      </c>
    </row>
    <row r="592" spans="1:14" ht="15" customHeight="1" x14ac:dyDescent="0.3">
      <c r="A592" s="21" t="s">
        <v>311</v>
      </c>
      <c r="B592" s="21" t="s">
        <v>319</v>
      </c>
      <c r="C592" s="21" t="s">
        <v>320</v>
      </c>
      <c r="D592" s="21" t="s">
        <v>374</v>
      </c>
      <c r="E592" s="21" t="s">
        <v>212</v>
      </c>
      <c r="F592" s="22">
        <v>3590</v>
      </c>
      <c r="G592" s="21" t="s">
        <v>142</v>
      </c>
      <c r="H592" s="23">
        <v>1000</v>
      </c>
      <c r="I592" s="21" t="s">
        <v>201</v>
      </c>
      <c r="J592" s="21" t="s">
        <v>375</v>
      </c>
      <c r="K592" s="21" t="s">
        <v>370</v>
      </c>
      <c r="L592" s="21" t="s">
        <v>207</v>
      </c>
      <c r="M592" s="23" t="s">
        <v>147</v>
      </c>
      <c r="N592" s="24" t="s">
        <v>370</v>
      </c>
    </row>
    <row r="593" spans="1:14" ht="15" customHeight="1" x14ac:dyDescent="0.3">
      <c r="A593" s="25" t="s">
        <v>311</v>
      </c>
      <c r="B593" s="25" t="s">
        <v>321</v>
      </c>
      <c r="C593" s="25" t="s">
        <v>322</v>
      </c>
      <c r="D593" s="25" t="s">
        <v>374</v>
      </c>
      <c r="E593" s="25" t="s">
        <v>212</v>
      </c>
      <c r="F593" s="26">
        <v>-550</v>
      </c>
      <c r="G593" s="25" t="s">
        <v>142</v>
      </c>
      <c r="H593" s="27">
        <v>1000</v>
      </c>
      <c r="I593" s="25" t="s">
        <v>201</v>
      </c>
      <c r="J593" s="25" t="s">
        <v>375</v>
      </c>
      <c r="K593" s="25" t="s">
        <v>370</v>
      </c>
      <c r="L593" s="25" t="s">
        <v>207</v>
      </c>
      <c r="M593" s="27" t="s">
        <v>147</v>
      </c>
      <c r="N593" s="28" t="s">
        <v>370</v>
      </c>
    </row>
    <row r="594" spans="1:14" ht="15" customHeight="1" x14ac:dyDescent="0.3">
      <c r="A594" s="21" t="s">
        <v>311</v>
      </c>
      <c r="B594" s="21" t="s">
        <v>323</v>
      </c>
      <c r="C594" s="21" t="s">
        <v>324</v>
      </c>
      <c r="D594" s="21" t="s">
        <v>374</v>
      </c>
      <c r="E594" s="21" t="s">
        <v>212</v>
      </c>
      <c r="F594" s="22">
        <v>42139</v>
      </c>
      <c r="G594" s="21" t="s">
        <v>142</v>
      </c>
      <c r="H594" s="23">
        <v>1000</v>
      </c>
      <c r="I594" s="21" t="s">
        <v>201</v>
      </c>
      <c r="J594" s="21" t="s">
        <v>375</v>
      </c>
      <c r="K594" s="21" t="s">
        <v>370</v>
      </c>
      <c r="L594" s="21" t="s">
        <v>207</v>
      </c>
      <c r="M594" s="23" t="s">
        <v>147</v>
      </c>
      <c r="N594" s="24" t="s">
        <v>370</v>
      </c>
    </row>
    <row r="595" spans="1:14" ht="15" customHeight="1" x14ac:dyDescent="0.3">
      <c r="A595" s="25" t="s">
        <v>311</v>
      </c>
      <c r="B595" s="25" t="s">
        <v>325</v>
      </c>
      <c r="C595" s="25" t="s">
        <v>227</v>
      </c>
      <c r="D595" s="25" t="s">
        <v>374</v>
      </c>
      <c r="E595" s="25" t="s">
        <v>212</v>
      </c>
      <c r="F595" s="26">
        <v>14740</v>
      </c>
      <c r="G595" s="25" t="s">
        <v>142</v>
      </c>
      <c r="H595" s="27">
        <v>1000</v>
      </c>
      <c r="I595" s="25" t="s">
        <v>201</v>
      </c>
      <c r="J595" s="25" t="s">
        <v>375</v>
      </c>
      <c r="K595" s="25" t="s">
        <v>370</v>
      </c>
      <c r="L595" s="25" t="s">
        <v>207</v>
      </c>
      <c r="M595" s="27" t="s">
        <v>147</v>
      </c>
      <c r="N595" s="28" t="s">
        <v>370</v>
      </c>
    </row>
    <row r="596" spans="1:14" ht="15" customHeight="1" x14ac:dyDescent="0.3">
      <c r="A596" s="21" t="s">
        <v>311</v>
      </c>
      <c r="B596" s="21" t="s">
        <v>326</v>
      </c>
      <c r="C596" s="21" t="s">
        <v>229</v>
      </c>
      <c r="D596" s="21" t="s">
        <v>374</v>
      </c>
      <c r="E596" s="21" t="s">
        <v>212</v>
      </c>
      <c r="F596" s="22">
        <v>-9402</v>
      </c>
      <c r="G596" s="21" t="s">
        <v>142</v>
      </c>
      <c r="H596" s="23">
        <v>1000</v>
      </c>
      <c r="I596" s="21" t="s">
        <v>201</v>
      </c>
      <c r="J596" s="21" t="s">
        <v>375</v>
      </c>
      <c r="K596" s="21" t="s">
        <v>370</v>
      </c>
      <c r="L596" s="21" t="s">
        <v>207</v>
      </c>
      <c r="M596" s="23" t="s">
        <v>147</v>
      </c>
      <c r="N596" s="24" t="s">
        <v>370</v>
      </c>
    </row>
    <row r="597" spans="1:14" ht="15" customHeight="1" x14ac:dyDescent="0.3">
      <c r="A597" s="25" t="s">
        <v>311</v>
      </c>
      <c r="B597" s="25" t="s">
        <v>327</v>
      </c>
      <c r="C597" s="25" t="s">
        <v>231</v>
      </c>
      <c r="D597" s="25" t="s">
        <v>374</v>
      </c>
      <c r="E597" s="25" t="s">
        <v>212</v>
      </c>
      <c r="F597" s="26">
        <v>-1772</v>
      </c>
      <c r="G597" s="25" t="s">
        <v>142</v>
      </c>
      <c r="H597" s="27">
        <v>1000</v>
      </c>
      <c r="I597" s="25" t="s">
        <v>201</v>
      </c>
      <c r="J597" s="25" t="s">
        <v>375</v>
      </c>
      <c r="K597" s="25" t="s">
        <v>370</v>
      </c>
      <c r="L597" s="25" t="s">
        <v>207</v>
      </c>
      <c r="M597" s="27" t="s">
        <v>147</v>
      </c>
      <c r="N597" s="28" t="s">
        <v>370</v>
      </c>
    </row>
    <row r="598" spans="1:14" ht="15" customHeight="1" x14ac:dyDescent="0.3">
      <c r="A598" s="21" t="s">
        <v>311</v>
      </c>
      <c r="B598" s="21" t="s">
        <v>328</v>
      </c>
      <c r="C598" s="21" t="s">
        <v>247</v>
      </c>
      <c r="D598" s="21" t="s">
        <v>374</v>
      </c>
      <c r="E598" s="21" t="s">
        <v>212</v>
      </c>
      <c r="F598" s="22">
        <v>-3843</v>
      </c>
      <c r="G598" s="21" t="s">
        <v>142</v>
      </c>
      <c r="H598" s="23">
        <v>1000</v>
      </c>
      <c r="I598" s="21" t="s">
        <v>201</v>
      </c>
      <c r="J598" s="21" t="s">
        <v>375</v>
      </c>
      <c r="K598" s="21" t="s">
        <v>370</v>
      </c>
      <c r="L598" s="21" t="s">
        <v>207</v>
      </c>
      <c r="M598" s="23" t="s">
        <v>147</v>
      </c>
      <c r="N598" s="24" t="s">
        <v>370</v>
      </c>
    </row>
    <row r="599" spans="1:14" ht="15" customHeight="1" x14ac:dyDescent="0.3">
      <c r="A599" s="25" t="s">
        <v>311</v>
      </c>
      <c r="B599" s="25" t="s">
        <v>329</v>
      </c>
      <c r="C599" s="25" t="s">
        <v>251</v>
      </c>
      <c r="D599" s="25" t="s">
        <v>374</v>
      </c>
      <c r="E599" s="25" t="s">
        <v>212</v>
      </c>
      <c r="F599" s="26">
        <v>-6204</v>
      </c>
      <c r="G599" s="25" t="s">
        <v>142</v>
      </c>
      <c r="H599" s="27">
        <v>1000</v>
      </c>
      <c r="I599" s="25" t="s">
        <v>201</v>
      </c>
      <c r="J599" s="25" t="s">
        <v>375</v>
      </c>
      <c r="K599" s="25" t="s">
        <v>370</v>
      </c>
      <c r="L599" s="25" t="s">
        <v>207</v>
      </c>
      <c r="M599" s="27" t="s">
        <v>147</v>
      </c>
      <c r="N599" s="28" t="s">
        <v>370</v>
      </c>
    </row>
    <row r="600" spans="1:14" ht="15" customHeight="1" x14ac:dyDescent="0.3">
      <c r="A600" s="21" t="s">
        <v>311</v>
      </c>
      <c r="B600" s="21" t="s">
        <v>330</v>
      </c>
      <c r="C600" s="21" t="s">
        <v>331</v>
      </c>
      <c r="D600" s="21" t="s">
        <v>374</v>
      </c>
      <c r="E600" s="21" t="s">
        <v>212</v>
      </c>
      <c r="F600" s="22">
        <v>780</v>
      </c>
      <c r="G600" s="21" t="s">
        <v>142</v>
      </c>
      <c r="H600" s="23">
        <v>1000</v>
      </c>
      <c r="I600" s="21" t="s">
        <v>201</v>
      </c>
      <c r="J600" s="21" t="s">
        <v>375</v>
      </c>
      <c r="K600" s="21" t="s">
        <v>370</v>
      </c>
      <c r="L600" s="21" t="s">
        <v>207</v>
      </c>
      <c r="M600" s="23" t="s">
        <v>147</v>
      </c>
      <c r="N600" s="24" t="s">
        <v>370</v>
      </c>
    </row>
    <row r="601" spans="1:14" ht="15" customHeight="1" x14ac:dyDescent="0.3">
      <c r="A601" s="25" t="s">
        <v>311</v>
      </c>
      <c r="B601" s="25" t="s">
        <v>332</v>
      </c>
      <c r="C601" s="25" t="s">
        <v>333</v>
      </c>
      <c r="D601" s="25" t="s">
        <v>374</v>
      </c>
      <c r="E601" s="25" t="s">
        <v>212</v>
      </c>
      <c r="F601" s="26">
        <v>105631</v>
      </c>
      <c r="G601" s="25" t="s">
        <v>142</v>
      </c>
      <c r="H601" s="27">
        <v>1000</v>
      </c>
      <c r="I601" s="25" t="s">
        <v>201</v>
      </c>
      <c r="J601" s="25" t="s">
        <v>375</v>
      </c>
      <c r="K601" s="25" t="s">
        <v>370</v>
      </c>
      <c r="L601" s="25" t="s">
        <v>207</v>
      </c>
      <c r="M601" s="27" t="s">
        <v>147</v>
      </c>
      <c r="N601" s="28" t="s">
        <v>370</v>
      </c>
    </row>
    <row r="602" spans="1:14" ht="15" customHeight="1" x14ac:dyDescent="0.3">
      <c r="A602" s="21" t="s">
        <v>311</v>
      </c>
      <c r="B602" s="21" t="s">
        <v>334</v>
      </c>
      <c r="C602" s="21" t="s">
        <v>335</v>
      </c>
      <c r="D602" s="21" t="s">
        <v>374</v>
      </c>
      <c r="E602" s="21" t="s">
        <v>212</v>
      </c>
      <c r="F602" s="22">
        <v>-26606</v>
      </c>
      <c r="G602" s="21" t="s">
        <v>142</v>
      </c>
      <c r="H602" s="23">
        <v>1000</v>
      </c>
      <c r="I602" s="21" t="s">
        <v>201</v>
      </c>
      <c r="J602" s="21" t="s">
        <v>375</v>
      </c>
      <c r="K602" s="21" t="s">
        <v>370</v>
      </c>
      <c r="L602" s="21" t="s">
        <v>207</v>
      </c>
      <c r="M602" s="23" t="s">
        <v>147</v>
      </c>
      <c r="N602" s="24" t="s">
        <v>370</v>
      </c>
    </row>
    <row r="603" spans="1:14" ht="15" customHeight="1" x14ac:dyDescent="0.3">
      <c r="A603" s="25" t="s">
        <v>311</v>
      </c>
      <c r="B603" s="25" t="s">
        <v>336</v>
      </c>
      <c r="C603" s="25" t="s">
        <v>337</v>
      </c>
      <c r="D603" s="25" t="s">
        <v>374</v>
      </c>
      <c r="E603" s="25" t="s">
        <v>212</v>
      </c>
      <c r="F603" s="26">
        <v>18676</v>
      </c>
      <c r="G603" s="25" t="s">
        <v>142</v>
      </c>
      <c r="H603" s="27">
        <v>1000</v>
      </c>
      <c r="I603" s="25" t="s">
        <v>201</v>
      </c>
      <c r="J603" s="25" t="s">
        <v>375</v>
      </c>
      <c r="K603" s="25" t="s">
        <v>370</v>
      </c>
      <c r="L603" s="25" t="s">
        <v>207</v>
      </c>
      <c r="M603" s="27" t="s">
        <v>147</v>
      </c>
      <c r="N603" s="28" t="s">
        <v>370</v>
      </c>
    </row>
    <row r="604" spans="1:14" ht="15" customHeight="1" x14ac:dyDescent="0.3">
      <c r="A604" s="21" t="s">
        <v>311</v>
      </c>
      <c r="B604" s="21" t="s">
        <v>338</v>
      </c>
      <c r="C604" s="21" t="s">
        <v>339</v>
      </c>
      <c r="D604" s="21" t="s">
        <v>374</v>
      </c>
      <c r="E604" s="21" t="s">
        <v>212</v>
      </c>
      <c r="F604" s="22">
        <v>-1310</v>
      </c>
      <c r="G604" s="21" t="s">
        <v>142</v>
      </c>
      <c r="H604" s="23">
        <v>1000</v>
      </c>
      <c r="I604" s="21" t="s">
        <v>201</v>
      </c>
      <c r="J604" s="21" t="s">
        <v>375</v>
      </c>
      <c r="K604" s="21" t="s">
        <v>370</v>
      </c>
      <c r="L604" s="21" t="s">
        <v>207</v>
      </c>
      <c r="M604" s="23" t="s">
        <v>147</v>
      </c>
      <c r="N604" s="24" t="s">
        <v>370</v>
      </c>
    </row>
    <row r="605" spans="1:14" ht="15" customHeight="1" x14ac:dyDescent="0.3">
      <c r="A605" s="25" t="s">
        <v>311</v>
      </c>
      <c r="B605" s="25" t="s">
        <v>340</v>
      </c>
      <c r="C605" s="25" t="s">
        <v>341</v>
      </c>
      <c r="D605" s="25" t="s">
        <v>374</v>
      </c>
      <c r="E605" s="25" t="s">
        <v>212</v>
      </c>
      <c r="F605" s="26">
        <v>-1309</v>
      </c>
      <c r="G605" s="25" t="s">
        <v>142</v>
      </c>
      <c r="H605" s="27">
        <v>1000</v>
      </c>
      <c r="I605" s="25" t="s">
        <v>201</v>
      </c>
      <c r="J605" s="25" t="s">
        <v>375</v>
      </c>
      <c r="K605" s="25" t="s">
        <v>370</v>
      </c>
      <c r="L605" s="25" t="s">
        <v>207</v>
      </c>
      <c r="M605" s="27" t="s">
        <v>147</v>
      </c>
      <c r="N605" s="28" t="s">
        <v>370</v>
      </c>
    </row>
    <row r="606" spans="1:14" ht="15" customHeight="1" x14ac:dyDescent="0.3">
      <c r="A606" s="21" t="s">
        <v>311</v>
      </c>
      <c r="B606" s="21" t="s">
        <v>346</v>
      </c>
      <c r="C606" s="21" t="s">
        <v>347</v>
      </c>
      <c r="D606" s="21" t="s">
        <v>374</v>
      </c>
      <c r="E606" s="21" t="s">
        <v>212</v>
      </c>
      <c r="F606" s="22">
        <v>-10549</v>
      </c>
      <c r="G606" s="21" t="s">
        <v>142</v>
      </c>
      <c r="H606" s="23">
        <v>1000</v>
      </c>
      <c r="I606" s="21" t="s">
        <v>201</v>
      </c>
      <c r="J606" s="21" t="s">
        <v>375</v>
      </c>
      <c r="K606" s="21" t="s">
        <v>370</v>
      </c>
      <c r="L606" s="21" t="s">
        <v>207</v>
      </c>
      <c r="M606" s="23" t="s">
        <v>147</v>
      </c>
      <c r="N606" s="24" t="s">
        <v>370</v>
      </c>
    </row>
    <row r="607" spans="1:14" ht="15" customHeight="1" x14ac:dyDescent="0.3">
      <c r="A607" s="25" t="s">
        <v>311</v>
      </c>
      <c r="B607" s="25" t="s">
        <v>348</v>
      </c>
      <c r="C607" s="25" t="s">
        <v>349</v>
      </c>
      <c r="D607" s="25" t="s">
        <v>374</v>
      </c>
      <c r="E607" s="25" t="s">
        <v>212</v>
      </c>
      <c r="F607" s="26">
        <v>3123</v>
      </c>
      <c r="G607" s="25" t="s">
        <v>142</v>
      </c>
      <c r="H607" s="27">
        <v>1000</v>
      </c>
      <c r="I607" s="25" t="s">
        <v>201</v>
      </c>
      <c r="J607" s="25" t="s">
        <v>375</v>
      </c>
      <c r="K607" s="25" t="s">
        <v>370</v>
      </c>
      <c r="L607" s="25" t="s">
        <v>207</v>
      </c>
      <c r="M607" s="27" t="s">
        <v>147</v>
      </c>
      <c r="N607" s="28" t="s">
        <v>370</v>
      </c>
    </row>
    <row r="608" spans="1:14" ht="15" customHeight="1" x14ac:dyDescent="0.3">
      <c r="A608" s="21" t="s">
        <v>311</v>
      </c>
      <c r="B608" s="21" t="s">
        <v>352</v>
      </c>
      <c r="C608" s="21" t="s">
        <v>353</v>
      </c>
      <c r="D608" s="21" t="s">
        <v>374</v>
      </c>
      <c r="E608" s="21" t="s">
        <v>212</v>
      </c>
      <c r="F608" s="22">
        <v>3123</v>
      </c>
      <c r="G608" s="21" t="s">
        <v>142</v>
      </c>
      <c r="H608" s="23">
        <v>1000</v>
      </c>
      <c r="I608" s="21" t="s">
        <v>201</v>
      </c>
      <c r="J608" s="21" t="s">
        <v>375</v>
      </c>
      <c r="K608" s="21" t="s">
        <v>370</v>
      </c>
      <c r="L608" s="21" t="s">
        <v>207</v>
      </c>
      <c r="M608" s="23" t="s">
        <v>147</v>
      </c>
      <c r="N608" s="24" t="s">
        <v>370</v>
      </c>
    </row>
    <row r="609" spans="1:14" ht="15" customHeight="1" x14ac:dyDescent="0.3">
      <c r="A609" s="25" t="s">
        <v>311</v>
      </c>
      <c r="B609" s="25" t="s">
        <v>354</v>
      </c>
      <c r="C609" s="25" t="s">
        <v>355</v>
      </c>
      <c r="D609" s="25" t="s">
        <v>374</v>
      </c>
      <c r="E609" s="25" t="s">
        <v>212</v>
      </c>
      <c r="F609" s="26">
        <v>98205</v>
      </c>
      <c r="G609" s="25" t="s">
        <v>142</v>
      </c>
      <c r="H609" s="27">
        <v>1000</v>
      </c>
      <c r="I609" s="25" t="s">
        <v>201</v>
      </c>
      <c r="J609" s="25" t="s">
        <v>375</v>
      </c>
      <c r="K609" s="25" t="s">
        <v>370</v>
      </c>
      <c r="L609" s="25" t="s">
        <v>207</v>
      </c>
      <c r="M609" s="27" t="s">
        <v>147</v>
      </c>
      <c r="N609" s="28" t="s">
        <v>370</v>
      </c>
    </row>
    <row r="610" spans="1:14" ht="15" customHeight="1" x14ac:dyDescent="0.3">
      <c r="A610" s="21" t="s">
        <v>311</v>
      </c>
      <c r="B610" s="21" t="s">
        <v>356</v>
      </c>
      <c r="C610" s="21" t="s">
        <v>357</v>
      </c>
      <c r="D610" s="21" t="s">
        <v>374</v>
      </c>
      <c r="E610" s="21" t="s">
        <v>212</v>
      </c>
      <c r="F610" s="22">
        <v>788526</v>
      </c>
      <c r="G610" s="21" t="s">
        <v>142</v>
      </c>
      <c r="H610" s="23">
        <v>1000</v>
      </c>
      <c r="I610" s="21" t="s">
        <v>201</v>
      </c>
      <c r="J610" s="21" t="s">
        <v>375</v>
      </c>
      <c r="K610" s="21" t="s">
        <v>370</v>
      </c>
      <c r="L610" s="21" t="s">
        <v>207</v>
      </c>
      <c r="M610" s="23" t="s">
        <v>147</v>
      </c>
      <c r="N610" s="24" t="s">
        <v>370</v>
      </c>
    </row>
    <row r="611" spans="1:14" ht="15" customHeight="1" x14ac:dyDescent="0.3">
      <c r="A611" s="25" t="s">
        <v>311</v>
      </c>
      <c r="B611" s="25" t="s">
        <v>358</v>
      </c>
      <c r="C611" s="25" t="s">
        <v>359</v>
      </c>
      <c r="D611" s="25" t="s">
        <v>374</v>
      </c>
      <c r="E611" s="25" t="s">
        <v>212</v>
      </c>
      <c r="F611" s="26">
        <v>886731</v>
      </c>
      <c r="G611" s="25" t="s">
        <v>142</v>
      </c>
      <c r="H611" s="27">
        <v>1000</v>
      </c>
      <c r="I611" s="25" t="s">
        <v>201</v>
      </c>
      <c r="J611" s="25" t="s">
        <v>375</v>
      </c>
      <c r="K611" s="25" t="s">
        <v>370</v>
      </c>
      <c r="L611" s="25" t="s">
        <v>207</v>
      </c>
      <c r="M611" s="27" t="s">
        <v>147</v>
      </c>
      <c r="N611" s="28" t="s">
        <v>370</v>
      </c>
    </row>
    <row r="612" spans="1:14" ht="15" customHeight="1" x14ac:dyDescent="0.3">
      <c r="A612" s="21" t="s">
        <v>311</v>
      </c>
      <c r="B612" s="21" t="s">
        <v>312</v>
      </c>
      <c r="C612" s="21" t="s">
        <v>313</v>
      </c>
      <c r="D612" s="21" t="s">
        <v>219</v>
      </c>
      <c r="E612" s="21" t="s">
        <v>212</v>
      </c>
      <c r="F612" s="22">
        <v>76618</v>
      </c>
      <c r="G612" s="21" t="s">
        <v>142</v>
      </c>
      <c r="H612" s="23">
        <v>1000</v>
      </c>
      <c r="I612" s="21" t="s">
        <v>201</v>
      </c>
      <c r="J612" s="21" t="s">
        <v>220</v>
      </c>
      <c r="K612" s="21" t="s">
        <v>370</v>
      </c>
      <c r="L612" s="21" t="s">
        <v>210</v>
      </c>
      <c r="M612" s="23" t="s">
        <v>147</v>
      </c>
      <c r="N612" s="24" t="s">
        <v>370</v>
      </c>
    </row>
    <row r="613" spans="1:14" ht="15" customHeight="1" x14ac:dyDescent="0.3">
      <c r="A613" s="25" t="s">
        <v>311</v>
      </c>
      <c r="B613" s="25" t="s">
        <v>315</v>
      </c>
      <c r="C613" s="25" t="s">
        <v>316</v>
      </c>
      <c r="D613" s="25" t="s">
        <v>219</v>
      </c>
      <c r="E613" s="25" t="s">
        <v>212</v>
      </c>
      <c r="F613" s="26">
        <v>21293</v>
      </c>
      <c r="G613" s="25" t="s">
        <v>142</v>
      </c>
      <c r="H613" s="27">
        <v>1000</v>
      </c>
      <c r="I613" s="25" t="s">
        <v>201</v>
      </c>
      <c r="J613" s="25" t="s">
        <v>220</v>
      </c>
      <c r="K613" s="25" t="s">
        <v>370</v>
      </c>
      <c r="L613" s="25" t="s">
        <v>210</v>
      </c>
      <c r="M613" s="27" t="s">
        <v>147</v>
      </c>
      <c r="N613" s="28" t="s">
        <v>370</v>
      </c>
    </row>
    <row r="614" spans="1:14" ht="15" customHeight="1" x14ac:dyDescent="0.3">
      <c r="A614" s="21" t="s">
        <v>311</v>
      </c>
      <c r="B614" s="21" t="s">
        <v>317</v>
      </c>
      <c r="C614" s="21" t="s">
        <v>318</v>
      </c>
      <c r="D614" s="21" t="s">
        <v>219</v>
      </c>
      <c r="E614" s="21" t="s">
        <v>212</v>
      </c>
      <c r="F614" s="22">
        <v>72857</v>
      </c>
      <c r="G614" s="21" t="s">
        <v>142</v>
      </c>
      <c r="H614" s="23">
        <v>1000</v>
      </c>
      <c r="I614" s="21" t="s">
        <v>201</v>
      </c>
      <c r="J614" s="21" t="s">
        <v>220</v>
      </c>
      <c r="K614" s="21" t="s">
        <v>370</v>
      </c>
      <c r="L614" s="21" t="s">
        <v>210</v>
      </c>
      <c r="M614" s="23" t="s">
        <v>147</v>
      </c>
      <c r="N614" s="24" t="s">
        <v>370</v>
      </c>
    </row>
    <row r="615" spans="1:14" ht="15" customHeight="1" x14ac:dyDescent="0.3">
      <c r="A615" s="25" t="s">
        <v>311</v>
      </c>
      <c r="B615" s="25" t="s">
        <v>319</v>
      </c>
      <c r="C615" s="25" t="s">
        <v>320</v>
      </c>
      <c r="D615" s="25" t="s">
        <v>219</v>
      </c>
      <c r="E615" s="25" t="s">
        <v>212</v>
      </c>
      <c r="F615" s="26">
        <v>8438</v>
      </c>
      <c r="G615" s="25" t="s">
        <v>142</v>
      </c>
      <c r="H615" s="27">
        <v>1000</v>
      </c>
      <c r="I615" s="25" t="s">
        <v>201</v>
      </c>
      <c r="J615" s="25" t="s">
        <v>220</v>
      </c>
      <c r="K615" s="25" t="s">
        <v>370</v>
      </c>
      <c r="L615" s="25" t="s">
        <v>210</v>
      </c>
      <c r="M615" s="27" t="s">
        <v>147</v>
      </c>
      <c r="N615" s="28" t="s">
        <v>370</v>
      </c>
    </row>
    <row r="616" spans="1:14" ht="15" customHeight="1" x14ac:dyDescent="0.3">
      <c r="A616" s="21" t="s">
        <v>311</v>
      </c>
      <c r="B616" s="21" t="s">
        <v>321</v>
      </c>
      <c r="C616" s="21" t="s">
        <v>322</v>
      </c>
      <c r="D616" s="21" t="s">
        <v>219</v>
      </c>
      <c r="E616" s="21" t="s">
        <v>212</v>
      </c>
      <c r="F616" s="22">
        <v>-642</v>
      </c>
      <c r="G616" s="21" t="s">
        <v>142</v>
      </c>
      <c r="H616" s="23">
        <v>1000</v>
      </c>
      <c r="I616" s="21" t="s">
        <v>201</v>
      </c>
      <c r="J616" s="21" t="s">
        <v>220</v>
      </c>
      <c r="K616" s="21" t="s">
        <v>370</v>
      </c>
      <c r="L616" s="21" t="s">
        <v>210</v>
      </c>
      <c r="M616" s="23" t="s">
        <v>147</v>
      </c>
      <c r="N616" s="24" t="s">
        <v>370</v>
      </c>
    </row>
    <row r="617" spans="1:14" ht="15" customHeight="1" x14ac:dyDescent="0.3">
      <c r="A617" s="25" t="s">
        <v>311</v>
      </c>
      <c r="B617" s="25" t="s">
        <v>376</v>
      </c>
      <c r="C617" s="25" t="s">
        <v>377</v>
      </c>
      <c r="D617" s="25" t="s">
        <v>219</v>
      </c>
      <c r="E617" s="25" t="s">
        <v>212</v>
      </c>
      <c r="F617" s="26">
        <v>578</v>
      </c>
      <c r="G617" s="25" t="s">
        <v>142</v>
      </c>
      <c r="H617" s="27">
        <v>1000</v>
      </c>
      <c r="I617" s="25" t="s">
        <v>201</v>
      </c>
      <c r="J617" s="25" t="s">
        <v>220</v>
      </c>
      <c r="K617" s="25" t="s">
        <v>370</v>
      </c>
      <c r="L617" s="25" t="s">
        <v>210</v>
      </c>
      <c r="M617" s="27" t="s">
        <v>147</v>
      </c>
      <c r="N617" s="28" t="s">
        <v>370</v>
      </c>
    </row>
    <row r="618" spans="1:14" ht="15" customHeight="1" x14ac:dyDescent="0.3">
      <c r="A618" s="21" t="s">
        <v>311</v>
      </c>
      <c r="B618" s="21" t="s">
        <v>323</v>
      </c>
      <c r="C618" s="21" t="s">
        <v>324</v>
      </c>
      <c r="D618" s="21" t="s">
        <v>219</v>
      </c>
      <c r="E618" s="21" t="s">
        <v>212</v>
      </c>
      <c r="F618" s="22">
        <v>8897</v>
      </c>
      <c r="G618" s="21" t="s">
        <v>142</v>
      </c>
      <c r="H618" s="23">
        <v>1000</v>
      </c>
      <c r="I618" s="21" t="s">
        <v>201</v>
      </c>
      <c r="J618" s="21" t="s">
        <v>220</v>
      </c>
      <c r="K618" s="21" t="s">
        <v>370</v>
      </c>
      <c r="L618" s="21" t="s">
        <v>210</v>
      </c>
      <c r="M618" s="23" t="s">
        <v>147</v>
      </c>
      <c r="N618" s="24" t="s">
        <v>370</v>
      </c>
    </row>
    <row r="619" spans="1:14" ht="15" customHeight="1" x14ac:dyDescent="0.3">
      <c r="A619" s="25" t="s">
        <v>311</v>
      </c>
      <c r="B619" s="25" t="s">
        <v>325</v>
      </c>
      <c r="C619" s="25" t="s">
        <v>227</v>
      </c>
      <c r="D619" s="25" t="s">
        <v>219</v>
      </c>
      <c r="E619" s="25" t="s">
        <v>212</v>
      </c>
      <c r="F619" s="26">
        <v>31848</v>
      </c>
      <c r="G619" s="25" t="s">
        <v>142</v>
      </c>
      <c r="H619" s="27">
        <v>1000</v>
      </c>
      <c r="I619" s="25" t="s">
        <v>201</v>
      </c>
      <c r="J619" s="25" t="s">
        <v>220</v>
      </c>
      <c r="K619" s="25" t="s">
        <v>370</v>
      </c>
      <c r="L619" s="25" t="s">
        <v>210</v>
      </c>
      <c r="M619" s="27" t="s">
        <v>147</v>
      </c>
      <c r="N619" s="28" t="s">
        <v>370</v>
      </c>
    </row>
    <row r="620" spans="1:14" ht="15" customHeight="1" x14ac:dyDescent="0.3">
      <c r="A620" s="21" t="s">
        <v>311</v>
      </c>
      <c r="B620" s="21" t="s">
        <v>326</v>
      </c>
      <c r="C620" s="21" t="s">
        <v>229</v>
      </c>
      <c r="D620" s="21" t="s">
        <v>219</v>
      </c>
      <c r="E620" s="21" t="s">
        <v>212</v>
      </c>
      <c r="F620" s="22">
        <v>-26</v>
      </c>
      <c r="G620" s="21" t="s">
        <v>142</v>
      </c>
      <c r="H620" s="23">
        <v>1000</v>
      </c>
      <c r="I620" s="21" t="s">
        <v>201</v>
      </c>
      <c r="J620" s="21" t="s">
        <v>220</v>
      </c>
      <c r="K620" s="21" t="s">
        <v>370</v>
      </c>
      <c r="L620" s="21" t="s">
        <v>210</v>
      </c>
      <c r="M620" s="23" t="s">
        <v>147</v>
      </c>
      <c r="N620" s="24" t="s">
        <v>370</v>
      </c>
    </row>
    <row r="621" spans="1:14" ht="15" customHeight="1" x14ac:dyDescent="0.3">
      <c r="A621" s="25" t="s">
        <v>311</v>
      </c>
      <c r="B621" s="25" t="s">
        <v>327</v>
      </c>
      <c r="C621" s="25" t="s">
        <v>231</v>
      </c>
      <c r="D621" s="25" t="s">
        <v>219</v>
      </c>
      <c r="E621" s="25" t="s">
        <v>212</v>
      </c>
      <c r="F621" s="26">
        <v>7069</v>
      </c>
      <c r="G621" s="25" t="s">
        <v>142</v>
      </c>
      <c r="H621" s="27">
        <v>1000</v>
      </c>
      <c r="I621" s="25" t="s">
        <v>201</v>
      </c>
      <c r="J621" s="25" t="s">
        <v>220</v>
      </c>
      <c r="K621" s="25" t="s">
        <v>370</v>
      </c>
      <c r="L621" s="25" t="s">
        <v>210</v>
      </c>
      <c r="M621" s="27" t="s">
        <v>147</v>
      </c>
      <c r="N621" s="28" t="s">
        <v>370</v>
      </c>
    </row>
    <row r="622" spans="1:14" ht="15" customHeight="1" x14ac:dyDescent="0.3">
      <c r="A622" s="21" t="s">
        <v>311</v>
      </c>
      <c r="B622" s="21" t="s">
        <v>328</v>
      </c>
      <c r="C622" s="21" t="s">
        <v>247</v>
      </c>
      <c r="D622" s="21" t="s">
        <v>219</v>
      </c>
      <c r="E622" s="21" t="s">
        <v>212</v>
      </c>
      <c r="F622" s="22">
        <v>6188</v>
      </c>
      <c r="G622" s="21" t="s">
        <v>142</v>
      </c>
      <c r="H622" s="23">
        <v>1000</v>
      </c>
      <c r="I622" s="21" t="s">
        <v>201</v>
      </c>
      <c r="J622" s="21" t="s">
        <v>220</v>
      </c>
      <c r="K622" s="21" t="s">
        <v>370</v>
      </c>
      <c r="L622" s="21" t="s">
        <v>210</v>
      </c>
      <c r="M622" s="23" t="s">
        <v>147</v>
      </c>
      <c r="N622" s="24" t="s">
        <v>370</v>
      </c>
    </row>
    <row r="623" spans="1:14" ht="15" customHeight="1" x14ac:dyDescent="0.3">
      <c r="A623" s="25" t="s">
        <v>311</v>
      </c>
      <c r="B623" s="25" t="s">
        <v>329</v>
      </c>
      <c r="C623" s="25" t="s">
        <v>251</v>
      </c>
      <c r="D623" s="25" t="s">
        <v>219</v>
      </c>
      <c r="E623" s="25" t="s">
        <v>212</v>
      </c>
      <c r="F623" s="26">
        <v>7159</v>
      </c>
      <c r="G623" s="25" t="s">
        <v>142</v>
      </c>
      <c r="H623" s="27">
        <v>1000</v>
      </c>
      <c r="I623" s="25" t="s">
        <v>201</v>
      </c>
      <c r="J623" s="25" t="s">
        <v>220</v>
      </c>
      <c r="K623" s="25" t="s">
        <v>370</v>
      </c>
      <c r="L623" s="25" t="s">
        <v>210</v>
      </c>
      <c r="M623" s="27" t="s">
        <v>147</v>
      </c>
      <c r="N623" s="28" t="s">
        <v>370</v>
      </c>
    </row>
    <row r="624" spans="1:14" ht="15" customHeight="1" x14ac:dyDescent="0.3">
      <c r="A624" s="21" t="s">
        <v>311</v>
      </c>
      <c r="B624" s="21" t="s">
        <v>330</v>
      </c>
      <c r="C624" s="21" t="s">
        <v>331</v>
      </c>
      <c r="D624" s="21" t="s">
        <v>219</v>
      </c>
      <c r="E624" s="21" t="s">
        <v>212</v>
      </c>
      <c r="F624" s="22">
        <v>-1246</v>
      </c>
      <c r="G624" s="21" t="s">
        <v>142</v>
      </c>
      <c r="H624" s="23">
        <v>1000</v>
      </c>
      <c r="I624" s="21" t="s">
        <v>201</v>
      </c>
      <c r="J624" s="21" t="s">
        <v>220</v>
      </c>
      <c r="K624" s="21" t="s">
        <v>370</v>
      </c>
      <c r="L624" s="21" t="s">
        <v>210</v>
      </c>
      <c r="M624" s="23" t="s">
        <v>147</v>
      </c>
      <c r="N624" s="24" t="s">
        <v>370</v>
      </c>
    </row>
    <row r="625" spans="1:14" ht="15" customHeight="1" x14ac:dyDescent="0.3">
      <c r="A625" s="25" t="s">
        <v>311</v>
      </c>
      <c r="B625" s="25" t="s">
        <v>332</v>
      </c>
      <c r="C625" s="25" t="s">
        <v>333</v>
      </c>
      <c r="D625" s="25" t="s">
        <v>219</v>
      </c>
      <c r="E625" s="25" t="s">
        <v>212</v>
      </c>
      <c r="F625" s="26">
        <v>239031</v>
      </c>
      <c r="G625" s="25" t="s">
        <v>142</v>
      </c>
      <c r="H625" s="27">
        <v>1000</v>
      </c>
      <c r="I625" s="25" t="s">
        <v>201</v>
      </c>
      <c r="J625" s="25" t="s">
        <v>220</v>
      </c>
      <c r="K625" s="25" t="s">
        <v>370</v>
      </c>
      <c r="L625" s="25" t="s">
        <v>210</v>
      </c>
      <c r="M625" s="27" t="s">
        <v>147</v>
      </c>
      <c r="N625" s="28" t="s">
        <v>370</v>
      </c>
    </row>
    <row r="626" spans="1:14" ht="15" customHeight="1" x14ac:dyDescent="0.3">
      <c r="A626" s="21" t="s">
        <v>311</v>
      </c>
      <c r="B626" s="21" t="s">
        <v>334</v>
      </c>
      <c r="C626" s="21" t="s">
        <v>335</v>
      </c>
      <c r="D626" s="21" t="s">
        <v>219</v>
      </c>
      <c r="E626" s="21" t="s">
        <v>212</v>
      </c>
      <c r="F626" s="22">
        <v>-75438</v>
      </c>
      <c r="G626" s="21" t="s">
        <v>142</v>
      </c>
      <c r="H626" s="23">
        <v>1000</v>
      </c>
      <c r="I626" s="21" t="s">
        <v>201</v>
      </c>
      <c r="J626" s="21" t="s">
        <v>220</v>
      </c>
      <c r="K626" s="21" t="s">
        <v>370</v>
      </c>
      <c r="L626" s="21" t="s">
        <v>210</v>
      </c>
      <c r="M626" s="23" t="s">
        <v>147</v>
      </c>
      <c r="N626" s="24" t="s">
        <v>370</v>
      </c>
    </row>
    <row r="627" spans="1:14" ht="15" customHeight="1" x14ac:dyDescent="0.3">
      <c r="A627" s="25" t="s">
        <v>311</v>
      </c>
      <c r="B627" s="25" t="s">
        <v>336</v>
      </c>
      <c r="C627" s="25" t="s">
        <v>337</v>
      </c>
      <c r="D627" s="25" t="s">
        <v>219</v>
      </c>
      <c r="E627" s="25" t="s">
        <v>212</v>
      </c>
      <c r="F627" s="26">
        <v>79584</v>
      </c>
      <c r="G627" s="25" t="s">
        <v>142</v>
      </c>
      <c r="H627" s="27">
        <v>1000</v>
      </c>
      <c r="I627" s="25" t="s">
        <v>201</v>
      </c>
      <c r="J627" s="25" t="s">
        <v>220</v>
      </c>
      <c r="K627" s="25" t="s">
        <v>370</v>
      </c>
      <c r="L627" s="25" t="s">
        <v>210</v>
      </c>
      <c r="M627" s="27" t="s">
        <v>147</v>
      </c>
      <c r="N627" s="28" t="s">
        <v>370</v>
      </c>
    </row>
    <row r="628" spans="1:14" ht="15" customHeight="1" x14ac:dyDescent="0.3">
      <c r="A628" s="21" t="s">
        <v>311</v>
      </c>
      <c r="B628" s="21" t="s">
        <v>338</v>
      </c>
      <c r="C628" s="21" t="s">
        <v>339</v>
      </c>
      <c r="D628" s="21" t="s">
        <v>219</v>
      </c>
      <c r="E628" s="21" t="s">
        <v>212</v>
      </c>
      <c r="F628" s="22">
        <v>-5587</v>
      </c>
      <c r="G628" s="21" t="s">
        <v>142</v>
      </c>
      <c r="H628" s="23">
        <v>1000</v>
      </c>
      <c r="I628" s="21" t="s">
        <v>201</v>
      </c>
      <c r="J628" s="21" t="s">
        <v>220</v>
      </c>
      <c r="K628" s="21" t="s">
        <v>370</v>
      </c>
      <c r="L628" s="21" t="s">
        <v>210</v>
      </c>
      <c r="M628" s="23" t="s">
        <v>147</v>
      </c>
      <c r="N628" s="24" t="s">
        <v>370</v>
      </c>
    </row>
    <row r="629" spans="1:14" ht="15" customHeight="1" x14ac:dyDescent="0.3">
      <c r="A629" s="25" t="s">
        <v>311</v>
      </c>
      <c r="B629" s="25" t="s">
        <v>340</v>
      </c>
      <c r="C629" s="25" t="s">
        <v>341</v>
      </c>
      <c r="D629" s="25" t="s">
        <v>219</v>
      </c>
      <c r="E629" s="25" t="s">
        <v>212</v>
      </c>
      <c r="F629" s="26">
        <v>-7028</v>
      </c>
      <c r="G629" s="25" t="s">
        <v>142</v>
      </c>
      <c r="H629" s="27">
        <v>1000</v>
      </c>
      <c r="I629" s="25" t="s">
        <v>201</v>
      </c>
      <c r="J629" s="25" t="s">
        <v>220</v>
      </c>
      <c r="K629" s="25" t="s">
        <v>370</v>
      </c>
      <c r="L629" s="25" t="s">
        <v>210</v>
      </c>
      <c r="M629" s="27" t="s">
        <v>147</v>
      </c>
      <c r="N629" s="28" t="s">
        <v>370</v>
      </c>
    </row>
    <row r="630" spans="1:14" ht="15" customHeight="1" x14ac:dyDescent="0.3">
      <c r="A630" s="21" t="s">
        <v>311</v>
      </c>
      <c r="B630" s="21" t="s">
        <v>346</v>
      </c>
      <c r="C630" s="21" t="s">
        <v>347</v>
      </c>
      <c r="D630" s="21" t="s">
        <v>219</v>
      </c>
      <c r="E630" s="21" t="s">
        <v>212</v>
      </c>
      <c r="F630" s="22">
        <v>-8469</v>
      </c>
      <c r="G630" s="21" t="s">
        <v>142</v>
      </c>
      <c r="H630" s="23">
        <v>1000</v>
      </c>
      <c r="I630" s="21" t="s">
        <v>201</v>
      </c>
      <c r="J630" s="21" t="s">
        <v>220</v>
      </c>
      <c r="K630" s="21" t="s">
        <v>370</v>
      </c>
      <c r="L630" s="21" t="s">
        <v>210</v>
      </c>
      <c r="M630" s="23" t="s">
        <v>147</v>
      </c>
      <c r="N630" s="24" t="s">
        <v>370</v>
      </c>
    </row>
    <row r="631" spans="1:14" ht="15" customHeight="1" x14ac:dyDescent="0.3">
      <c r="A631" s="25" t="s">
        <v>311</v>
      </c>
      <c r="B631" s="25" t="s">
        <v>348</v>
      </c>
      <c r="C631" s="25" t="s">
        <v>349</v>
      </c>
      <c r="D631" s="25" t="s">
        <v>219</v>
      </c>
      <c r="E631" s="25" t="s">
        <v>212</v>
      </c>
      <c r="F631" s="26">
        <v>2338</v>
      </c>
      <c r="G631" s="25" t="s">
        <v>142</v>
      </c>
      <c r="H631" s="27">
        <v>1000</v>
      </c>
      <c r="I631" s="25" t="s">
        <v>201</v>
      </c>
      <c r="J631" s="25" t="s">
        <v>220</v>
      </c>
      <c r="K631" s="25" t="s">
        <v>370</v>
      </c>
      <c r="L631" s="25" t="s">
        <v>210</v>
      </c>
      <c r="M631" s="27" t="s">
        <v>147</v>
      </c>
      <c r="N631" s="28" t="s">
        <v>370</v>
      </c>
    </row>
    <row r="632" spans="1:14" ht="15" customHeight="1" x14ac:dyDescent="0.3">
      <c r="A632" s="21" t="s">
        <v>311</v>
      </c>
      <c r="B632" s="21" t="s">
        <v>368</v>
      </c>
      <c r="C632" s="21" t="s">
        <v>369</v>
      </c>
      <c r="D632" s="21" t="s">
        <v>219</v>
      </c>
      <c r="E632" s="21" t="s">
        <v>212</v>
      </c>
      <c r="F632" s="22">
        <v>-69603</v>
      </c>
      <c r="G632" s="21" t="s">
        <v>142</v>
      </c>
      <c r="H632" s="23">
        <v>1000</v>
      </c>
      <c r="I632" s="21" t="s">
        <v>201</v>
      </c>
      <c r="J632" s="21" t="s">
        <v>220</v>
      </c>
      <c r="K632" s="21" t="s">
        <v>370</v>
      </c>
      <c r="L632" s="21" t="s">
        <v>210</v>
      </c>
      <c r="M632" s="23" t="s">
        <v>147</v>
      </c>
      <c r="N632" s="24" t="s">
        <v>370</v>
      </c>
    </row>
    <row r="633" spans="1:14" ht="15" customHeight="1" x14ac:dyDescent="0.3">
      <c r="A633" s="25" t="s">
        <v>311</v>
      </c>
      <c r="B633" s="25" t="s">
        <v>350</v>
      </c>
      <c r="C633" s="25" t="s">
        <v>351</v>
      </c>
      <c r="D633" s="25" t="s">
        <v>219</v>
      </c>
      <c r="E633" s="25" t="s">
        <v>212</v>
      </c>
      <c r="F633" s="26">
        <v>-18799</v>
      </c>
      <c r="G633" s="25" t="s">
        <v>142</v>
      </c>
      <c r="H633" s="27">
        <v>1000</v>
      </c>
      <c r="I633" s="25" t="s">
        <v>201</v>
      </c>
      <c r="J633" s="25" t="s">
        <v>220</v>
      </c>
      <c r="K633" s="25" t="s">
        <v>370</v>
      </c>
      <c r="L633" s="25" t="s">
        <v>210</v>
      </c>
      <c r="M633" s="27" t="s">
        <v>147</v>
      </c>
      <c r="N633" s="28" t="s">
        <v>370</v>
      </c>
    </row>
    <row r="634" spans="1:14" ht="15" customHeight="1" x14ac:dyDescent="0.3">
      <c r="A634" s="21" t="s">
        <v>311</v>
      </c>
      <c r="B634" s="21" t="s">
        <v>352</v>
      </c>
      <c r="C634" s="21" t="s">
        <v>353</v>
      </c>
      <c r="D634" s="21" t="s">
        <v>219</v>
      </c>
      <c r="E634" s="21" t="s">
        <v>212</v>
      </c>
      <c r="F634" s="22">
        <v>-86064</v>
      </c>
      <c r="G634" s="21" t="s">
        <v>142</v>
      </c>
      <c r="H634" s="23">
        <v>1000</v>
      </c>
      <c r="I634" s="21" t="s">
        <v>201</v>
      </c>
      <c r="J634" s="21" t="s">
        <v>220</v>
      </c>
      <c r="K634" s="21" t="s">
        <v>370</v>
      </c>
      <c r="L634" s="21" t="s">
        <v>210</v>
      </c>
      <c r="M634" s="23" t="s">
        <v>147</v>
      </c>
      <c r="N634" s="24" t="s">
        <v>370</v>
      </c>
    </row>
    <row r="635" spans="1:14" ht="15" customHeight="1" x14ac:dyDescent="0.3">
      <c r="A635" s="25" t="s">
        <v>311</v>
      </c>
      <c r="B635" s="25" t="s">
        <v>354</v>
      </c>
      <c r="C635" s="25" t="s">
        <v>355</v>
      </c>
      <c r="D635" s="25" t="s">
        <v>219</v>
      </c>
      <c r="E635" s="25" t="s">
        <v>212</v>
      </c>
      <c r="F635" s="26">
        <v>144498</v>
      </c>
      <c r="G635" s="25" t="s">
        <v>142</v>
      </c>
      <c r="H635" s="27">
        <v>1000</v>
      </c>
      <c r="I635" s="25" t="s">
        <v>201</v>
      </c>
      <c r="J635" s="25" t="s">
        <v>220</v>
      </c>
      <c r="K635" s="25" t="s">
        <v>370</v>
      </c>
      <c r="L635" s="25" t="s">
        <v>210</v>
      </c>
      <c r="M635" s="27" t="s">
        <v>147</v>
      </c>
      <c r="N635" s="28" t="s">
        <v>370</v>
      </c>
    </row>
    <row r="636" spans="1:14" ht="15" customHeight="1" x14ac:dyDescent="0.3">
      <c r="A636" s="21" t="s">
        <v>311</v>
      </c>
      <c r="B636" s="21" t="s">
        <v>356</v>
      </c>
      <c r="C636" s="21" t="s">
        <v>357</v>
      </c>
      <c r="D636" s="21" t="s">
        <v>219</v>
      </c>
      <c r="E636" s="21" t="s">
        <v>212</v>
      </c>
      <c r="F636" s="22">
        <v>1039124</v>
      </c>
      <c r="G636" s="21" t="s">
        <v>142</v>
      </c>
      <c r="H636" s="23">
        <v>1000</v>
      </c>
      <c r="I636" s="21" t="s">
        <v>201</v>
      </c>
      <c r="J636" s="21" t="s">
        <v>220</v>
      </c>
      <c r="K636" s="21" t="s">
        <v>370</v>
      </c>
      <c r="L636" s="21" t="s">
        <v>210</v>
      </c>
      <c r="M636" s="23" t="s">
        <v>147</v>
      </c>
      <c r="N636" s="24" t="s">
        <v>370</v>
      </c>
    </row>
    <row r="637" spans="1:14" ht="15" customHeight="1" x14ac:dyDescent="0.3">
      <c r="A637" s="25" t="s">
        <v>311</v>
      </c>
      <c r="B637" s="25" t="s">
        <v>358</v>
      </c>
      <c r="C637" s="25" t="s">
        <v>359</v>
      </c>
      <c r="D637" s="25" t="s">
        <v>219</v>
      </c>
      <c r="E637" s="25" t="s">
        <v>212</v>
      </c>
      <c r="F637" s="26">
        <v>1183622</v>
      </c>
      <c r="G637" s="25" t="s">
        <v>142</v>
      </c>
      <c r="H637" s="27">
        <v>1000</v>
      </c>
      <c r="I637" s="25" t="s">
        <v>201</v>
      </c>
      <c r="J637" s="25" t="s">
        <v>220</v>
      </c>
      <c r="K637" s="25" t="s">
        <v>370</v>
      </c>
      <c r="L637" s="25" t="s">
        <v>210</v>
      </c>
      <c r="M637" s="27" t="s">
        <v>147</v>
      </c>
      <c r="N637" s="28" t="s">
        <v>370</v>
      </c>
    </row>
    <row r="638" spans="1:14" ht="15" customHeight="1" x14ac:dyDescent="0.3">
      <c r="A638" s="21" t="s">
        <v>311</v>
      </c>
      <c r="B638" s="21" t="s">
        <v>312</v>
      </c>
      <c r="C638" s="21" t="s">
        <v>313</v>
      </c>
      <c r="D638" s="21" t="s">
        <v>378</v>
      </c>
      <c r="E638" s="21" t="s">
        <v>212</v>
      </c>
      <c r="F638" s="22">
        <v>79916</v>
      </c>
      <c r="G638" s="21" t="s">
        <v>142</v>
      </c>
      <c r="H638" s="23">
        <v>1000</v>
      </c>
      <c r="I638" s="21" t="s">
        <v>201</v>
      </c>
      <c r="J638" s="21" t="s">
        <v>379</v>
      </c>
      <c r="K638" s="21" t="s">
        <v>370</v>
      </c>
      <c r="L638" s="21" t="s">
        <v>210</v>
      </c>
      <c r="M638" s="23" t="s">
        <v>147</v>
      </c>
      <c r="N638" s="24" t="s">
        <v>370</v>
      </c>
    </row>
    <row r="639" spans="1:14" ht="15" customHeight="1" x14ac:dyDescent="0.3">
      <c r="A639" s="25" t="s">
        <v>311</v>
      </c>
      <c r="B639" s="25" t="s">
        <v>317</v>
      </c>
      <c r="C639" s="25" t="s">
        <v>318</v>
      </c>
      <c r="D639" s="25" t="s">
        <v>378</v>
      </c>
      <c r="E639" s="25" t="s">
        <v>212</v>
      </c>
      <c r="F639" s="26">
        <v>65610</v>
      </c>
      <c r="G639" s="25" t="s">
        <v>142</v>
      </c>
      <c r="H639" s="27">
        <v>1000</v>
      </c>
      <c r="I639" s="25" t="s">
        <v>201</v>
      </c>
      <c r="J639" s="25" t="s">
        <v>379</v>
      </c>
      <c r="K639" s="25" t="s">
        <v>370</v>
      </c>
      <c r="L639" s="25" t="s">
        <v>210</v>
      </c>
      <c r="M639" s="27" t="s">
        <v>147</v>
      </c>
      <c r="N639" s="28" t="s">
        <v>370</v>
      </c>
    </row>
    <row r="640" spans="1:14" ht="15" customHeight="1" x14ac:dyDescent="0.3">
      <c r="A640" s="21" t="s">
        <v>311</v>
      </c>
      <c r="B640" s="21" t="s">
        <v>319</v>
      </c>
      <c r="C640" s="21" t="s">
        <v>320</v>
      </c>
      <c r="D640" s="21" t="s">
        <v>378</v>
      </c>
      <c r="E640" s="21" t="s">
        <v>212</v>
      </c>
      <c r="F640" s="22">
        <v>7030</v>
      </c>
      <c r="G640" s="21" t="s">
        <v>142</v>
      </c>
      <c r="H640" s="23">
        <v>1000</v>
      </c>
      <c r="I640" s="21" t="s">
        <v>201</v>
      </c>
      <c r="J640" s="21" t="s">
        <v>379</v>
      </c>
      <c r="K640" s="21" t="s">
        <v>370</v>
      </c>
      <c r="L640" s="21" t="s">
        <v>210</v>
      </c>
      <c r="M640" s="23" t="s">
        <v>147</v>
      </c>
      <c r="N640" s="24" t="s">
        <v>370</v>
      </c>
    </row>
    <row r="641" spans="1:14" ht="15" customHeight="1" x14ac:dyDescent="0.3">
      <c r="A641" s="25" t="s">
        <v>311</v>
      </c>
      <c r="B641" s="25" t="s">
        <v>321</v>
      </c>
      <c r="C641" s="25" t="s">
        <v>322</v>
      </c>
      <c r="D641" s="25" t="s">
        <v>378</v>
      </c>
      <c r="E641" s="25" t="s">
        <v>212</v>
      </c>
      <c r="F641" s="26">
        <v>-1017</v>
      </c>
      <c r="G641" s="25" t="s">
        <v>142</v>
      </c>
      <c r="H641" s="27">
        <v>1000</v>
      </c>
      <c r="I641" s="25" t="s">
        <v>201</v>
      </c>
      <c r="J641" s="25" t="s">
        <v>379</v>
      </c>
      <c r="K641" s="25" t="s">
        <v>370</v>
      </c>
      <c r="L641" s="25" t="s">
        <v>210</v>
      </c>
      <c r="M641" s="27" t="s">
        <v>147</v>
      </c>
      <c r="N641" s="28" t="s">
        <v>370</v>
      </c>
    </row>
    <row r="642" spans="1:14" ht="15" customHeight="1" x14ac:dyDescent="0.3">
      <c r="A642" s="21" t="s">
        <v>311</v>
      </c>
      <c r="B642" s="21" t="s">
        <v>323</v>
      </c>
      <c r="C642" s="21" t="s">
        <v>324</v>
      </c>
      <c r="D642" s="21" t="s">
        <v>378</v>
      </c>
      <c r="E642" s="21" t="s">
        <v>212</v>
      </c>
      <c r="F642" s="22">
        <v>58293</v>
      </c>
      <c r="G642" s="21" t="s">
        <v>142</v>
      </c>
      <c r="H642" s="23">
        <v>1000</v>
      </c>
      <c r="I642" s="21" t="s">
        <v>201</v>
      </c>
      <c r="J642" s="21" t="s">
        <v>379</v>
      </c>
      <c r="K642" s="21" t="s">
        <v>370</v>
      </c>
      <c r="L642" s="21" t="s">
        <v>210</v>
      </c>
      <c r="M642" s="23" t="s">
        <v>147</v>
      </c>
      <c r="N642" s="24" t="s">
        <v>370</v>
      </c>
    </row>
    <row r="643" spans="1:14" ht="15" customHeight="1" x14ac:dyDescent="0.3">
      <c r="A643" s="25" t="s">
        <v>311</v>
      </c>
      <c r="B643" s="25" t="s">
        <v>325</v>
      </c>
      <c r="C643" s="25" t="s">
        <v>227</v>
      </c>
      <c r="D643" s="25" t="s">
        <v>378</v>
      </c>
      <c r="E643" s="25" t="s">
        <v>212</v>
      </c>
      <c r="F643" s="26">
        <v>16004</v>
      </c>
      <c r="G643" s="25" t="s">
        <v>142</v>
      </c>
      <c r="H643" s="27">
        <v>1000</v>
      </c>
      <c r="I643" s="25" t="s">
        <v>201</v>
      </c>
      <c r="J643" s="25" t="s">
        <v>379</v>
      </c>
      <c r="K643" s="25" t="s">
        <v>370</v>
      </c>
      <c r="L643" s="25" t="s">
        <v>210</v>
      </c>
      <c r="M643" s="27" t="s">
        <v>147</v>
      </c>
      <c r="N643" s="28" t="s">
        <v>370</v>
      </c>
    </row>
    <row r="644" spans="1:14" ht="15" customHeight="1" x14ac:dyDescent="0.3">
      <c r="A644" s="21" t="s">
        <v>311</v>
      </c>
      <c r="B644" s="21" t="s">
        <v>326</v>
      </c>
      <c r="C644" s="21" t="s">
        <v>229</v>
      </c>
      <c r="D644" s="21" t="s">
        <v>378</v>
      </c>
      <c r="E644" s="21" t="s">
        <v>212</v>
      </c>
      <c r="F644" s="22">
        <v>-13632</v>
      </c>
      <c r="G644" s="21" t="s">
        <v>142</v>
      </c>
      <c r="H644" s="23">
        <v>1000</v>
      </c>
      <c r="I644" s="21" t="s">
        <v>201</v>
      </c>
      <c r="J644" s="21" t="s">
        <v>379</v>
      </c>
      <c r="K644" s="21" t="s">
        <v>370</v>
      </c>
      <c r="L644" s="21" t="s">
        <v>210</v>
      </c>
      <c r="M644" s="23" t="s">
        <v>147</v>
      </c>
      <c r="N644" s="24" t="s">
        <v>370</v>
      </c>
    </row>
    <row r="645" spans="1:14" ht="15" customHeight="1" x14ac:dyDescent="0.3">
      <c r="A645" s="25" t="s">
        <v>311</v>
      </c>
      <c r="B645" s="25" t="s">
        <v>327</v>
      </c>
      <c r="C645" s="25" t="s">
        <v>231</v>
      </c>
      <c r="D645" s="25" t="s">
        <v>378</v>
      </c>
      <c r="E645" s="25" t="s">
        <v>212</v>
      </c>
      <c r="F645" s="26">
        <v>-4536</v>
      </c>
      <c r="G645" s="25" t="s">
        <v>142</v>
      </c>
      <c r="H645" s="27">
        <v>1000</v>
      </c>
      <c r="I645" s="25" t="s">
        <v>201</v>
      </c>
      <c r="J645" s="25" t="s">
        <v>379</v>
      </c>
      <c r="K645" s="25" t="s">
        <v>370</v>
      </c>
      <c r="L645" s="25" t="s">
        <v>210</v>
      </c>
      <c r="M645" s="27" t="s">
        <v>147</v>
      </c>
      <c r="N645" s="28" t="s">
        <v>370</v>
      </c>
    </row>
    <row r="646" spans="1:14" ht="15" customHeight="1" x14ac:dyDescent="0.3">
      <c r="A646" s="21" t="s">
        <v>311</v>
      </c>
      <c r="B646" s="21" t="s">
        <v>328</v>
      </c>
      <c r="C646" s="21" t="s">
        <v>247</v>
      </c>
      <c r="D646" s="21" t="s">
        <v>378</v>
      </c>
      <c r="E646" s="21" t="s">
        <v>212</v>
      </c>
      <c r="F646" s="22">
        <v>593</v>
      </c>
      <c r="G646" s="21" t="s">
        <v>142</v>
      </c>
      <c r="H646" s="23">
        <v>1000</v>
      </c>
      <c r="I646" s="21" t="s">
        <v>201</v>
      </c>
      <c r="J646" s="21" t="s">
        <v>379</v>
      </c>
      <c r="K646" s="21" t="s">
        <v>370</v>
      </c>
      <c r="L646" s="21" t="s">
        <v>210</v>
      </c>
      <c r="M646" s="23" t="s">
        <v>147</v>
      </c>
      <c r="N646" s="24" t="s">
        <v>370</v>
      </c>
    </row>
    <row r="647" spans="1:14" ht="15" customHeight="1" x14ac:dyDescent="0.3">
      <c r="A647" s="25" t="s">
        <v>311</v>
      </c>
      <c r="B647" s="25" t="s">
        <v>329</v>
      </c>
      <c r="C647" s="25" t="s">
        <v>251</v>
      </c>
      <c r="D647" s="25" t="s">
        <v>378</v>
      </c>
      <c r="E647" s="25" t="s">
        <v>212</v>
      </c>
      <c r="F647" s="26">
        <v>-10350</v>
      </c>
      <c r="G647" s="25" t="s">
        <v>142</v>
      </c>
      <c r="H647" s="27">
        <v>1000</v>
      </c>
      <c r="I647" s="25" t="s">
        <v>201</v>
      </c>
      <c r="J647" s="25" t="s">
        <v>379</v>
      </c>
      <c r="K647" s="25" t="s">
        <v>370</v>
      </c>
      <c r="L647" s="25" t="s">
        <v>210</v>
      </c>
      <c r="M647" s="27" t="s">
        <v>147</v>
      </c>
      <c r="N647" s="28" t="s">
        <v>370</v>
      </c>
    </row>
    <row r="648" spans="1:14" ht="15" customHeight="1" x14ac:dyDescent="0.3">
      <c r="A648" s="21" t="s">
        <v>311</v>
      </c>
      <c r="B648" s="21" t="s">
        <v>330</v>
      </c>
      <c r="C648" s="21" t="s">
        <v>331</v>
      </c>
      <c r="D648" s="21" t="s">
        <v>378</v>
      </c>
      <c r="E648" s="21" t="s">
        <v>212</v>
      </c>
      <c r="F648" s="22">
        <v>-1605</v>
      </c>
      <c r="G648" s="21" t="s">
        <v>142</v>
      </c>
      <c r="H648" s="23">
        <v>1000</v>
      </c>
      <c r="I648" s="21" t="s">
        <v>201</v>
      </c>
      <c r="J648" s="21" t="s">
        <v>379</v>
      </c>
      <c r="K648" s="21" t="s">
        <v>370</v>
      </c>
      <c r="L648" s="21" t="s">
        <v>210</v>
      </c>
      <c r="M648" s="23" t="s">
        <v>147</v>
      </c>
      <c r="N648" s="24" t="s">
        <v>370</v>
      </c>
    </row>
    <row r="649" spans="1:14" ht="15" customHeight="1" x14ac:dyDescent="0.3">
      <c r="A649" s="25" t="s">
        <v>311</v>
      </c>
      <c r="B649" s="25" t="s">
        <v>332</v>
      </c>
      <c r="C649" s="25" t="s">
        <v>333</v>
      </c>
      <c r="D649" s="25" t="s">
        <v>378</v>
      </c>
      <c r="E649" s="25" t="s">
        <v>212</v>
      </c>
      <c r="F649" s="26">
        <v>196306</v>
      </c>
      <c r="G649" s="25" t="s">
        <v>142</v>
      </c>
      <c r="H649" s="27">
        <v>1000</v>
      </c>
      <c r="I649" s="25" t="s">
        <v>201</v>
      </c>
      <c r="J649" s="25" t="s">
        <v>379</v>
      </c>
      <c r="K649" s="25" t="s">
        <v>370</v>
      </c>
      <c r="L649" s="25" t="s">
        <v>210</v>
      </c>
      <c r="M649" s="27" t="s">
        <v>147</v>
      </c>
      <c r="N649" s="28" t="s">
        <v>370</v>
      </c>
    </row>
    <row r="650" spans="1:14" ht="15" customHeight="1" x14ac:dyDescent="0.3">
      <c r="A650" s="21" t="s">
        <v>311</v>
      </c>
      <c r="B650" s="21" t="s">
        <v>334</v>
      </c>
      <c r="C650" s="21" t="s">
        <v>335</v>
      </c>
      <c r="D650" s="21" t="s">
        <v>378</v>
      </c>
      <c r="E650" s="21" t="s">
        <v>212</v>
      </c>
      <c r="F650" s="22">
        <v>-48321</v>
      </c>
      <c r="G650" s="21" t="s">
        <v>142</v>
      </c>
      <c r="H650" s="23">
        <v>1000</v>
      </c>
      <c r="I650" s="21" t="s">
        <v>201</v>
      </c>
      <c r="J650" s="21" t="s">
        <v>379</v>
      </c>
      <c r="K650" s="21" t="s">
        <v>370</v>
      </c>
      <c r="L650" s="21" t="s">
        <v>210</v>
      </c>
      <c r="M650" s="23" t="s">
        <v>147</v>
      </c>
      <c r="N650" s="24" t="s">
        <v>370</v>
      </c>
    </row>
    <row r="651" spans="1:14" ht="15" customHeight="1" x14ac:dyDescent="0.3">
      <c r="A651" s="25" t="s">
        <v>311</v>
      </c>
      <c r="B651" s="25" t="s">
        <v>336</v>
      </c>
      <c r="C651" s="25" t="s">
        <v>337</v>
      </c>
      <c r="D651" s="25" t="s">
        <v>378</v>
      </c>
      <c r="E651" s="25" t="s">
        <v>212</v>
      </c>
      <c r="F651" s="26">
        <v>42470</v>
      </c>
      <c r="G651" s="25" t="s">
        <v>142</v>
      </c>
      <c r="H651" s="27">
        <v>1000</v>
      </c>
      <c r="I651" s="25" t="s">
        <v>201</v>
      </c>
      <c r="J651" s="25" t="s">
        <v>379</v>
      </c>
      <c r="K651" s="25" t="s">
        <v>370</v>
      </c>
      <c r="L651" s="25" t="s">
        <v>210</v>
      </c>
      <c r="M651" s="27" t="s">
        <v>147</v>
      </c>
      <c r="N651" s="28" t="s">
        <v>370</v>
      </c>
    </row>
    <row r="652" spans="1:14" ht="15" customHeight="1" x14ac:dyDescent="0.3">
      <c r="A652" s="21" t="s">
        <v>311</v>
      </c>
      <c r="B652" s="21" t="s">
        <v>338</v>
      </c>
      <c r="C652" s="21" t="s">
        <v>339</v>
      </c>
      <c r="D652" s="21" t="s">
        <v>378</v>
      </c>
      <c r="E652" s="21" t="s">
        <v>212</v>
      </c>
      <c r="F652" s="22">
        <v>-4463</v>
      </c>
      <c r="G652" s="21" t="s">
        <v>142</v>
      </c>
      <c r="H652" s="23">
        <v>1000</v>
      </c>
      <c r="I652" s="21" t="s">
        <v>201</v>
      </c>
      <c r="J652" s="21" t="s">
        <v>379</v>
      </c>
      <c r="K652" s="21" t="s">
        <v>370</v>
      </c>
      <c r="L652" s="21" t="s">
        <v>210</v>
      </c>
      <c r="M652" s="23" t="s">
        <v>147</v>
      </c>
      <c r="N652" s="24" t="s">
        <v>370</v>
      </c>
    </row>
    <row r="653" spans="1:14" ht="15" customHeight="1" x14ac:dyDescent="0.3">
      <c r="A653" s="25" t="s">
        <v>311</v>
      </c>
      <c r="B653" s="25" t="s">
        <v>340</v>
      </c>
      <c r="C653" s="25" t="s">
        <v>341</v>
      </c>
      <c r="D653" s="25" t="s">
        <v>378</v>
      </c>
      <c r="E653" s="25" t="s">
        <v>212</v>
      </c>
      <c r="F653" s="26">
        <v>-2507</v>
      </c>
      <c r="G653" s="25" t="s">
        <v>142</v>
      </c>
      <c r="H653" s="27">
        <v>1000</v>
      </c>
      <c r="I653" s="25" t="s">
        <v>201</v>
      </c>
      <c r="J653" s="25" t="s">
        <v>379</v>
      </c>
      <c r="K653" s="25" t="s">
        <v>370</v>
      </c>
      <c r="L653" s="25" t="s">
        <v>210</v>
      </c>
      <c r="M653" s="27" t="s">
        <v>147</v>
      </c>
      <c r="N653" s="28" t="s">
        <v>370</v>
      </c>
    </row>
    <row r="654" spans="1:14" ht="15" customHeight="1" x14ac:dyDescent="0.3">
      <c r="A654" s="21" t="s">
        <v>311</v>
      </c>
      <c r="B654" s="21" t="s">
        <v>346</v>
      </c>
      <c r="C654" s="21" t="s">
        <v>347</v>
      </c>
      <c r="D654" s="21" t="s">
        <v>378</v>
      </c>
      <c r="E654" s="21" t="s">
        <v>212</v>
      </c>
      <c r="F654" s="22">
        <v>-12821</v>
      </c>
      <c r="G654" s="21" t="s">
        <v>142</v>
      </c>
      <c r="H654" s="23">
        <v>1000</v>
      </c>
      <c r="I654" s="21" t="s">
        <v>201</v>
      </c>
      <c r="J654" s="21" t="s">
        <v>379</v>
      </c>
      <c r="K654" s="21" t="s">
        <v>370</v>
      </c>
      <c r="L654" s="21" t="s">
        <v>210</v>
      </c>
      <c r="M654" s="23" t="s">
        <v>147</v>
      </c>
      <c r="N654" s="24" t="s">
        <v>370</v>
      </c>
    </row>
    <row r="655" spans="1:14" ht="15" customHeight="1" x14ac:dyDescent="0.3">
      <c r="A655" s="25" t="s">
        <v>311</v>
      </c>
      <c r="B655" s="25" t="s">
        <v>348</v>
      </c>
      <c r="C655" s="25" t="s">
        <v>349</v>
      </c>
      <c r="D655" s="25" t="s">
        <v>378</v>
      </c>
      <c r="E655" s="25" t="s">
        <v>212</v>
      </c>
      <c r="F655" s="26">
        <v>6955</v>
      </c>
      <c r="G655" s="25" t="s">
        <v>142</v>
      </c>
      <c r="H655" s="27">
        <v>1000</v>
      </c>
      <c r="I655" s="25" t="s">
        <v>201</v>
      </c>
      <c r="J655" s="25" t="s">
        <v>379</v>
      </c>
      <c r="K655" s="25" t="s">
        <v>370</v>
      </c>
      <c r="L655" s="25" t="s">
        <v>210</v>
      </c>
      <c r="M655" s="27" t="s">
        <v>147</v>
      </c>
      <c r="N655" s="28" t="s">
        <v>370</v>
      </c>
    </row>
    <row r="656" spans="1:14" ht="15" customHeight="1" x14ac:dyDescent="0.3">
      <c r="A656" s="21" t="s">
        <v>311</v>
      </c>
      <c r="B656" s="21" t="s">
        <v>352</v>
      </c>
      <c r="C656" s="21" t="s">
        <v>353</v>
      </c>
      <c r="D656" s="21" t="s">
        <v>378</v>
      </c>
      <c r="E656" s="21" t="s">
        <v>212</v>
      </c>
      <c r="F656" s="22">
        <v>6955</v>
      </c>
      <c r="G656" s="21" t="s">
        <v>142</v>
      </c>
      <c r="H656" s="23">
        <v>1000</v>
      </c>
      <c r="I656" s="21" t="s">
        <v>201</v>
      </c>
      <c r="J656" s="21" t="s">
        <v>379</v>
      </c>
      <c r="K656" s="21" t="s">
        <v>370</v>
      </c>
      <c r="L656" s="21" t="s">
        <v>210</v>
      </c>
      <c r="M656" s="23" t="s">
        <v>147</v>
      </c>
      <c r="N656" s="24" t="s">
        <v>370</v>
      </c>
    </row>
    <row r="657" spans="1:14" ht="15" customHeight="1" x14ac:dyDescent="0.3">
      <c r="A657" s="25" t="s">
        <v>311</v>
      </c>
      <c r="B657" s="25" t="s">
        <v>354</v>
      </c>
      <c r="C657" s="25" t="s">
        <v>355</v>
      </c>
      <c r="D657" s="25" t="s">
        <v>378</v>
      </c>
      <c r="E657" s="25" t="s">
        <v>212</v>
      </c>
      <c r="F657" s="26">
        <v>190440</v>
      </c>
      <c r="G657" s="25" t="s">
        <v>142</v>
      </c>
      <c r="H657" s="27">
        <v>1000</v>
      </c>
      <c r="I657" s="25" t="s">
        <v>201</v>
      </c>
      <c r="J657" s="25" t="s">
        <v>379</v>
      </c>
      <c r="K657" s="25" t="s">
        <v>370</v>
      </c>
      <c r="L657" s="25" t="s">
        <v>210</v>
      </c>
      <c r="M657" s="27" t="s">
        <v>147</v>
      </c>
      <c r="N657" s="28" t="s">
        <v>370</v>
      </c>
    </row>
    <row r="658" spans="1:14" ht="15" customHeight="1" x14ac:dyDescent="0.3">
      <c r="A658" s="21" t="s">
        <v>311</v>
      </c>
      <c r="B658" s="21" t="s">
        <v>356</v>
      </c>
      <c r="C658" s="21" t="s">
        <v>357</v>
      </c>
      <c r="D658" s="21" t="s">
        <v>378</v>
      </c>
      <c r="E658" s="21" t="s">
        <v>212</v>
      </c>
      <c r="F658" s="22">
        <v>788526</v>
      </c>
      <c r="G658" s="21" t="s">
        <v>142</v>
      </c>
      <c r="H658" s="23">
        <v>1000</v>
      </c>
      <c r="I658" s="21" t="s">
        <v>201</v>
      </c>
      <c r="J658" s="21" t="s">
        <v>379</v>
      </c>
      <c r="K658" s="21" t="s">
        <v>370</v>
      </c>
      <c r="L658" s="21" t="s">
        <v>210</v>
      </c>
      <c r="M658" s="23" t="s">
        <v>147</v>
      </c>
      <c r="N658" s="24" t="s">
        <v>370</v>
      </c>
    </row>
    <row r="659" spans="1:14" ht="15" customHeight="1" x14ac:dyDescent="0.3">
      <c r="A659" s="25" t="s">
        <v>311</v>
      </c>
      <c r="B659" s="25" t="s">
        <v>358</v>
      </c>
      <c r="C659" s="25" t="s">
        <v>359</v>
      </c>
      <c r="D659" s="25" t="s">
        <v>378</v>
      </c>
      <c r="E659" s="25" t="s">
        <v>212</v>
      </c>
      <c r="F659" s="26">
        <v>978966</v>
      </c>
      <c r="G659" s="25" t="s">
        <v>142</v>
      </c>
      <c r="H659" s="27">
        <v>1000</v>
      </c>
      <c r="I659" s="25" t="s">
        <v>201</v>
      </c>
      <c r="J659" s="25" t="s">
        <v>379</v>
      </c>
      <c r="K659" s="25" t="s">
        <v>370</v>
      </c>
      <c r="L659" s="25" t="s">
        <v>210</v>
      </c>
      <c r="M659" s="27" t="s">
        <v>147</v>
      </c>
      <c r="N659" s="28" t="s">
        <v>370</v>
      </c>
    </row>
    <row r="660" spans="1:14" ht="15" customHeight="1" x14ac:dyDescent="0.3">
      <c r="A660" s="21" t="s">
        <v>380</v>
      </c>
      <c r="B660" s="21" t="s">
        <v>381</v>
      </c>
      <c r="C660" s="21" t="s">
        <v>382</v>
      </c>
      <c r="D660" s="21" t="s">
        <v>197</v>
      </c>
      <c r="E660" s="21" t="s">
        <v>141</v>
      </c>
      <c r="F660" s="22">
        <v>996268</v>
      </c>
      <c r="G660" s="21" t="s">
        <v>142</v>
      </c>
      <c r="H660" s="23">
        <v>1000</v>
      </c>
      <c r="I660" s="21" t="s">
        <v>143</v>
      </c>
      <c r="J660" s="21" t="s">
        <v>198</v>
      </c>
      <c r="K660" s="21" t="s">
        <v>383</v>
      </c>
      <c r="L660" s="21" t="s">
        <v>193</v>
      </c>
      <c r="M660" s="23" t="s">
        <v>147</v>
      </c>
      <c r="N660" s="24" t="s">
        <v>384</v>
      </c>
    </row>
    <row r="661" spans="1:14" ht="15" customHeight="1" x14ac:dyDescent="0.3">
      <c r="A661" s="25" t="s">
        <v>380</v>
      </c>
      <c r="B661" s="25" t="s">
        <v>385</v>
      </c>
      <c r="C661" s="25" t="s">
        <v>386</v>
      </c>
      <c r="D661" s="25" t="s">
        <v>197</v>
      </c>
      <c r="E661" s="25" t="s">
        <v>141</v>
      </c>
      <c r="F661" s="26">
        <v>1158425</v>
      </c>
      <c r="G661" s="25" t="s">
        <v>142</v>
      </c>
      <c r="H661" s="27">
        <v>1000</v>
      </c>
      <c r="I661" s="25" t="s">
        <v>143</v>
      </c>
      <c r="J661" s="25" t="s">
        <v>198</v>
      </c>
      <c r="K661" s="25" t="s">
        <v>383</v>
      </c>
      <c r="L661" s="25" t="s">
        <v>193</v>
      </c>
      <c r="M661" s="27" t="s">
        <v>147</v>
      </c>
      <c r="N661" s="28" t="s">
        <v>384</v>
      </c>
    </row>
    <row r="662" spans="1:14" ht="15" customHeight="1" x14ac:dyDescent="0.3">
      <c r="A662" s="21" t="s">
        <v>380</v>
      </c>
      <c r="B662" s="21" t="s">
        <v>387</v>
      </c>
      <c r="C662" s="21" t="s">
        <v>388</v>
      </c>
      <c r="D662" s="21" t="s">
        <v>197</v>
      </c>
      <c r="E662" s="21" t="s">
        <v>141</v>
      </c>
      <c r="F662" s="22">
        <v>305878</v>
      </c>
      <c r="G662" s="21" t="s">
        <v>142</v>
      </c>
      <c r="H662" s="23">
        <v>1000</v>
      </c>
      <c r="I662" s="21" t="s">
        <v>143</v>
      </c>
      <c r="J662" s="21" t="s">
        <v>198</v>
      </c>
      <c r="K662" s="21" t="s">
        <v>389</v>
      </c>
      <c r="L662" s="21" t="s">
        <v>193</v>
      </c>
      <c r="M662" s="23" t="s">
        <v>147</v>
      </c>
      <c r="N662" s="24" t="s">
        <v>390</v>
      </c>
    </row>
    <row r="663" spans="1:14" ht="15" customHeight="1" x14ac:dyDescent="0.3">
      <c r="A663" s="25" t="s">
        <v>380</v>
      </c>
      <c r="B663" s="25" t="s">
        <v>391</v>
      </c>
      <c r="C663" s="25" t="s">
        <v>392</v>
      </c>
      <c r="D663" s="25" t="s">
        <v>197</v>
      </c>
      <c r="E663" s="25" t="s">
        <v>141</v>
      </c>
      <c r="F663" s="26">
        <v>52700000</v>
      </c>
      <c r="G663" s="25" t="s">
        <v>393</v>
      </c>
      <c r="H663" s="27">
        <v>1</v>
      </c>
      <c r="I663" s="25" t="s">
        <v>143</v>
      </c>
      <c r="J663" s="25" t="s">
        <v>198</v>
      </c>
      <c r="K663" s="25" t="s">
        <v>383</v>
      </c>
      <c r="L663" s="25" t="s">
        <v>193</v>
      </c>
      <c r="M663" s="27" t="s">
        <v>147</v>
      </c>
      <c r="N663" s="28" t="s">
        <v>394</v>
      </c>
    </row>
    <row r="664" spans="1:14" ht="15" customHeight="1" x14ac:dyDescent="0.3">
      <c r="A664" s="21" t="s">
        <v>380</v>
      </c>
      <c r="B664" s="21" t="s">
        <v>395</v>
      </c>
      <c r="C664" s="21" t="s">
        <v>396</v>
      </c>
      <c r="D664" s="21" t="s">
        <v>197</v>
      </c>
      <c r="E664" s="21" t="s">
        <v>141</v>
      </c>
      <c r="F664" s="22">
        <v>133100000</v>
      </c>
      <c r="G664" s="21" t="s">
        <v>393</v>
      </c>
      <c r="H664" s="23">
        <v>1</v>
      </c>
      <c r="I664" s="21" t="s">
        <v>143</v>
      </c>
      <c r="J664" s="21" t="s">
        <v>198</v>
      </c>
      <c r="K664" s="21" t="s">
        <v>383</v>
      </c>
      <c r="L664" s="21" t="s">
        <v>193</v>
      </c>
      <c r="M664" s="23" t="s">
        <v>147</v>
      </c>
      <c r="N664" s="24" t="s">
        <v>397</v>
      </c>
    </row>
    <row r="665" spans="1:14" ht="15" customHeight="1" x14ac:dyDescent="0.3">
      <c r="A665" s="25" t="s">
        <v>380</v>
      </c>
      <c r="B665" s="25" t="s">
        <v>398</v>
      </c>
      <c r="C665" s="25" t="s">
        <v>399</v>
      </c>
      <c r="D665" s="25" t="s">
        <v>197</v>
      </c>
      <c r="E665" s="25" t="s">
        <v>141</v>
      </c>
      <c r="F665" s="26">
        <v>12200000</v>
      </c>
      <c r="G665" s="25" t="s">
        <v>393</v>
      </c>
      <c r="H665" s="27">
        <v>1</v>
      </c>
      <c r="I665" s="25" t="s">
        <v>143</v>
      </c>
      <c r="J665" s="25" t="s">
        <v>198</v>
      </c>
      <c r="K665" s="25" t="s">
        <v>383</v>
      </c>
      <c r="L665" s="25" t="s">
        <v>193</v>
      </c>
      <c r="M665" s="27" t="s">
        <v>147</v>
      </c>
      <c r="N665" s="28" t="s">
        <v>400</v>
      </c>
    </row>
    <row r="666" spans="1:14" ht="15" customHeight="1" x14ac:dyDescent="0.3">
      <c r="A666" s="21" t="s">
        <v>380</v>
      </c>
      <c r="B666" s="21" t="s">
        <v>391</v>
      </c>
      <c r="C666" s="21" t="s">
        <v>392</v>
      </c>
      <c r="D666" s="21" t="s">
        <v>401</v>
      </c>
      <c r="E666" s="21" t="s">
        <v>200</v>
      </c>
      <c r="F666" s="22">
        <v>52700000</v>
      </c>
      <c r="G666" s="21" t="s">
        <v>393</v>
      </c>
      <c r="H666" s="23">
        <v>1</v>
      </c>
      <c r="I666" s="21" t="s">
        <v>143</v>
      </c>
      <c r="J666" s="21" t="s">
        <v>402</v>
      </c>
      <c r="K666" s="21" t="s">
        <v>383</v>
      </c>
      <c r="L666" s="21" t="s">
        <v>193</v>
      </c>
      <c r="M666" s="23" t="s">
        <v>147</v>
      </c>
      <c r="N666" s="24" t="s">
        <v>394</v>
      </c>
    </row>
    <row r="667" spans="1:14" ht="15" customHeight="1" x14ac:dyDescent="0.3">
      <c r="A667" s="25" t="s">
        <v>380</v>
      </c>
      <c r="B667" s="25" t="s">
        <v>395</v>
      </c>
      <c r="C667" s="25" t="s">
        <v>396</v>
      </c>
      <c r="D667" s="25" t="s">
        <v>401</v>
      </c>
      <c r="E667" s="25" t="s">
        <v>200</v>
      </c>
      <c r="F667" s="26">
        <v>133100000</v>
      </c>
      <c r="G667" s="25" t="s">
        <v>393</v>
      </c>
      <c r="H667" s="27">
        <v>1</v>
      </c>
      <c r="I667" s="25" t="s">
        <v>143</v>
      </c>
      <c r="J667" s="25" t="s">
        <v>402</v>
      </c>
      <c r="K667" s="25" t="s">
        <v>383</v>
      </c>
      <c r="L667" s="25" t="s">
        <v>193</v>
      </c>
      <c r="M667" s="27" t="s">
        <v>147</v>
      </c>
      <c r="N667" s="28" t="s">
        <v>397</v>
      </c>
    </row>
    <row r="668" spans="1:14" ht="15" customHeight="1" x14ac:dyDescent="0.3">
      <c r="A668" s="21" t="s">
        <v>380</v>
      </c>
      <c r="B668" s="21" t="s">
        <v>398</v>
      </c>
      <c r="C668" s="21" t="s">
        <v>399</v>
      </c>
      <c r="D668" s="21" t="s">
        <v>401</v>
      </c>
      <c r="E668" s="21" t="s">
        <v>200</v>
      </c>
      <c r="F668" s="22">
        <v>12200000</v>
      </c>
      <c r="G668" s="21" t="s">
        <v>393</v>
      </c>
      <c r="H668" s="23">
        <v>1</v>
      </c>
      <c r="I668" s="21" t="s">
        <v>143</v>
      </c>
      <c r="J668" s="21" t="s">
        <v>402</v>
      </c>
      <c r="K668" s="21" t="s">
        <v>383</v>
      </c>
      <c r="L668" s="21" t="s">
        <v>193</v>
      </c>
      <c r="M668" s="23" t="s">
        <v>147</v>
      </c>
      <c r="N668" s="24" t="s">
        <v>400</v>
      </c>
    </row>
    <row r="669" spans="1:14" ht="15" customHeight="1" x14ac:dyDescent="0.3">
      <c r="A669" s="25" t="s">
        <v>380</v>
      </c>
      <c r="B669" s="25" t="s">
        <v>381</v>
      </c>
      <c r="C669" s="25" t="s">
        <v>382</v>
      </c>
      <c r="D669" s="25" t="s">
        <v>195</v>
      </c>
      <c r="E669" s="25" t="s">
        <v>141</v>
      </c>
      <c r="F669" s="26">
        <v>730737</v>
      </c>
      <c r="G669" s="25" t="s">
        <v>142</v>
      </c>
      <c r="H669" s="27">
        <v>1000</v>
      </c>
      <c r="I669" s="25" t="s">
        <v>143</v>
      </c>
      <c r="J669" s="25" t="s">
        <v>196</v>
      </c>
      <c r="K669" s="25" t="s">
        <v>383</v>
      </c>
      <c r="L669" s="25" t="s">
        <v>193</v>
      </c>
      <c r="M669" s="27" t="s">
        <v>147</v>
      </c>
      <c r="N669" s="28" t="s">
        <v>384</v>
      </c>
    </row>
    <row r="670" spans="1:14" ht="15" customHeight="1" x14ac:dyDescent="0.3">
      <c r="A670" s="21" t="s">
        <v>380</v>
      </c>
      <c r="B670" s="21" t="s">
        <v>385</v>
      </c>
      <c r="C670" s="21" t="s">
        <v>386</v>
      </c>
      <c r="D670" s="21" t="s">
        <v>195</v>
      </c>
      <c r="E670" s="21" t="s">
        <v>141</v>
      </c>
      <c r="F670" s="22">
        <v>870601</v>
      </c>
      <c r="G670" s="21" t="s">
        <v>142</v>
      </c>
      <c r="H670" s="23">
        <v>1000</v>
      </c>
      <c r="I670" s="21" t="s">
        <v>143</v>
      </c>
      <c r="J670" s="21" t="s">
        <v>196</v>
      </c>
      <c r="K670" s="21" t="s">
        <v>383</v>
      </c>
      <c r="L670" s="21" t="s">
        <v>193</v>
      </c>
      <c r="M670" s="23" t="s">
        <v>147</v>
      </c>
      <c r="N670" s="24" t="s">
        <v>384</v>
      </c>
    </row>
    <row r="671" spans="1:14" ht="15" customHeight="1" x14ac:dyDescent="0.3">
      <c r="A671" s="25" t="s">
        <v>380</v>
      </c>
      <c r="B671" s="25" t="s">
        <v>387</v>
      </c>
      <c r="C671" s="25" t="s">
        <v>388</v>
      </c>
      <c r="D671" s="25" t="s">
        <v>195</v>
      </c>
      <c r="E671" s="25" t="s">
        <v>141</v>
      </c>
      <c r="F671" s="26">
        <v>191942</v>
      </c>
      <c r="G671" s="25" t="s">
        <v>142</v>
      </c>
      <c r="H671" s="27">
        <v>1000</v>
      </c>
      <c r="I671" s="25" t="s">
        <v>143</v>
      </c>
      <c r="J671" s="25" t="s">
        <v>196</v>
      </c>
      <c r="K671" s="25" t="s">
        <v>389</v>
      </c>
      <c r="L671" s="25" t="s">
        <v>193</v>
      </c>
      <c r="M671" s="27" t="s">
        <v>147</v>
      </c>
      <c r="N671" s="28" t="s">
        <v>390</v>
      </c>
    </row>
    <row r="672" spans="1:14" ht="15" customHeight="1" x14ac:dyDescent="0.3">
      <c r="A672" s="21" t="s">
        <v>380</v>
      </c>
      <c r="B672" s="21" t="s">
        <v>391</v>
      </c>
      <c r="C672" s="21" t="s">
        <v>392</v>
      </c>
      <c r="D672" s="21" t="s">
        <v>195</v>
      </c>
      <c r="E672" s="21" t="s">
        <v>141</v>
      </c>
      <c r="F672" s="22">
        <v>40500000</v>
      </c>
      <c r="G672" s="21" t="s">
        <v>393</v>
      </c>
      <c r="H672" s="23">
        <v>1</v>
      </c>
      <c r="I672" s="21" t="s">
        <v>143</v>
      </c>
      <c r="J672" s="21" t="s">
        <v>196</v>
      </c>
      <c r="K672" s="21" t="s">
        <v>383</v>
      </c>
      <c r="L672" s="21" t="s">
        <v>193</v>
      </c>
      <c r="M672" s="23" t="s">
        <v>147</v>
      </c>
      <c r="N672" s="24" t="s">
        <v>394</v>
      </c>
    </row>
    <row r="673" spans="1:14" ht="15" customHeight="1" x14ac:dyDescent="0.3">
      <c r="A673" s="25" t="s">
        <v>380</v>
      </c>
      <c r="B673" s="25" t="s">
        <v>395</v>
      </c>
      <c r="C673" s="25" t="s">
        <v>396</v>
      </c>
      <c r="D673" s="25" t="s">
        <v>195</v>
      </c>
      <c r="E673" s="25" t="s">
        <v>141</v>
      </c>
      <c r="F673" s="26">
        <v>116700000</v>
      </c>
      <c r="G673" s="25" t="s">
        <v>393</v>
      </c>
      <c r="H673" s="27">
        <v>1</v>
      </c>
      <c r="I673" s="25" t="s">
        <v>143</v>
      </c>
      <c r="J673" s="25" t="s">
        <v>196</v>
      </c>
      <c r="K673" s="25" t="s">
        <v>383</v>
      </c>
      <c r="L673" s="25" t="s">
        <v>193</v>
      </c>
      <c r="M673" s="27" t="s">
        <v>147</v>
      </c>
      <c r="N673" s="28" t="s">
        <v>397</v>
      </c>
    </row>
    <row r="674" spans="1:14" ht="15" customHeight="1" x14ac:dyDescent="0.3">
      <c r="A674" s="21" t="s">
        <v>380</v>
      </c>
      <c r="B674" s="21" t="s">
        <v>398</v>
      </c>
      <c r="C674" s="21" t="s">
        <v>399</v>
      </c>
      <c r="D674" s="21" t="s">
        <v>195</v>
      </c>
      <c r="E674" s="21" t="s">
        <v>141</v>
      </c>
      <c r="F674" s="22">
        <v>9500000</v>
      </c>
      <c r="G674" s="21" t="s">
        <v>393</v>
      </c>
      <c r="H674" s="23">
        <v>1</v>
      </c>
      <c r="I674" s="21" t="s">
        <v>143</v>
      </c>
      <c r="J674" s="21" t="s">
        <v>196</v>
      </c>
      <c r="K674" s="21" t="s">
        <v>383</v>
      </c>
      <c r="L674" s="21" t="s">
        <v>193</v>
      </c>
      <c r="M674" s="23" t="s">
        <v>147</v>
      </c>
      <c r="N674" s="24" t="s">
        <v>400</v>
      </c>
    </row>
    <row r="675" spans="1:14" ht="15" customHeight="1" x14ac:dyDescent="0.3">
      <c r="A675" s="25" t="s">
        <v>380</v>
      </c>
      <c r="B675" s="25" t="s">
        <v>381</v>
      </c>
      <c r="C675" s="25" t="s">
        <v>382</v>
      </c>
      <c r="D675" s="25" t="s">
        <v>191</v>
      </c>
      <c r="E675" s="25" t="s">
        <v>141</v>
      </c>
      <c r="F675" s="26">
        <v>495497</v>
      </c>
      <c r="G675" s="25" t="s">
        <v>142</v>
      </c>
      <c r="H675" s="27">
        <v>1000</v>
      </c>
      <c r="I675" s="25" t="s">
        <v>143</v>
      </c>
      <c r="J675" s="25" t="s">
        <v>192</v>
      </c>
      <c r="K675" s="25" t="s">
        <v>383</v>
      </c>
      <c r="L675" s="25" t="s">
        <v>146</v>
      </c>
      <c r="M675" s="27" t="s">
        <v>147</v>
      </c>
      <c r="N675" s="28" t="s">
        <v>403</v>
      </c>
    </row>
    <row r="676" spans="1:14" ht="15" customHeight="1" x14ac:dyDescent="0.3">
      <c r="A676" s="21" t="s">
        <v>380</v>
      </c>
      <c r="B676" s="21" t="s">
        <v>385</v>
      </c>
      <c r="C676" s="21" t="s">
        <v>386</v>
      </c>
      <c r="D676" s="21" t="s">
        <v>191</v>
      </c>
      <c r="E676" s="21" t="s">
        <v>141</v>
      </c>
      <c r="F676" s="22">
        <v>622181</v>
      </c>
      <c r="G676" s="21" t="s">
        <v>142</v>
      </c>
      <c r="H676" s="23">
        <v>1000</v>
      </c>
      <c r="I676" s="21" t="s">
        <v>143</v>
      </c>
      <c r="J676" s="21" t="s">
        <v>192</v>
      </c>
      <c r="K676" s="21" t="s">
        <v>383</v>
      </c>
      <c r="L676" s="21" t="s">
        <v>146</v>
      </c>
      <c r="M676" s="23" t="s">
        <v>147</v>
      </c>
      <c r="N676" s="24" t="s">
        <v>403</v>
      </c>
    </row>
    <row r="677" spans="1:14" ht="15" customHeight="1" x14ac:dyDescent="0.3">
      <c r="A677" s="25" t="s">
        <v>380</v>
      </c>
      <c r="B677" s="25" t="s">
        <v>387</v>
      </c>
      <c r="C677" s="25" t="s">
        <v>388</v>
      </c>
      <c r="D677" s="25" t="s">
        <v>191</v>
      </c>
      <c r="E677" s="25" t="s">
        <v>141</v>
      </c>
      <c r="F677" s="26">
        <v>93678</v>
      </c>
      <c r="G677" s="25" t="s">
        <v>142</v>
      </c>
      <c r="H677" s="27">
        <v>1000</v>
      </c>
      <c r="I677" s="25" t="s">
        <v>143</v>
      </c>
      <c r="J677" s="25" t="s">
        <v>192</v>
      </c>
      <c r="K677" s="25" t="s">
        <v>389</v>
      </c>
      <c r="L677" s="25" t="s">
        <v>146</v>
      </c>
      <c r="M677" s="27" t="s">
        <v>147</v>
      </c>
      <c r="N677" s="28" t="s">
        <v>404</v>
      </c>
    </row>
    <row r="678" spans="1:14" ht="15" customHeight="1" x14ac:dyDescent="0.3">
      <c r="A678" s="21" t="s">
        <v>380</v>
      </c>
      <c r="B678" s="21" t="s">
        <v>391</v>
      </c>
      <c r="C678" s="21" t="s">
        <v>392</v>
      </c>
      <c r="D678" s="21" t="s">
        <v>191</v>
      </c>
      <c r="E678" s="21" t="s">
        <v>141</v>
      </c>
      <c r="F678" s="22">
        <v>26900000</v>
      </c>
      <c r="G678" s="21" t="s">
        <v>393</v>
      </c>
      <c r="H678" s="23">
        <v>1</v>
      </c>
      <c r="I678" s="21" t="s">
        <v>143</v>
      </c>
      <c r="J678" s="21" t="s">
        <v>192</v>
      </c>
      <c r="K678" s="21" t="s">
        <v>383</v>
      </c>
      <c r="L678" s="21" t="s">
        <v>146</v>
      </c>
      <c r="M678" s="23" t="s">
        <v>147</v>
      </c>
      <c r="N678" s="24" t="s">
        <v>405</v>
      </c>
    </row>
    <row r="679" spans="1:14" ht="15" customHeight="1" x14ac:dyDescent="0.3">
      <c r="A679" s="25" t="s">
        <v>380</v>
      </c>
      <c r="B679" s="25" t="s">
        <v>395</v>
      </c>
      <c r="C679" s="25" t="s">
        <v>396</v>
      </c>
      <c r="D679" s="25" t="s">
        <v>191</v>
      </c>
      <c r="E679" s="25" t="s">
        <v>141</v>
      </c>
      <c r="F679" s="26">
        <v>88400000</v>
      </c>
      <c r="G679" s="25" t="s">
        <v>393</v>
      </c>
      <c r="H679" s="27">
        <v>1</v>
      </c>
      <c r="I679" s="25" t="s">
        <v>143</v>
      </c>
      <c r="J679" s="25" t="s">
        <v>192</v>
      </c>
      <c r="K679" s="25" t="s">
        <v>383</v>
      </c>
      <c r="L679" s="25" t="s">
        <v>146</v>
      </c>
      <c r="M679" s="27" t="s">
        <v>147</v>
      </c>
      <c r="N679" s="28" t="s">
        <v>406</v>
      </c>
    </row>
    <row r="680" spans="1:14" ht="15" customHeight="1" x14ac:dyDescent="0.3">
      <c r="A680" s="21" t="s">
        <v>380</v>
      </c>
      <c r="B680" s="21" t="s">
        <v>398</v>
      </c>
      <c r="C680" s="21" t="s">
        <v>399</v>
      </c>
      <c r="D680" s="21" t="s">
        <v>191</v>
      </c>
      <c r="E680" s="21" t="s">
        <v>141</v>
      </c>
      <c r="F680" s="22">
        <v>6600000</v>
      </c>
      <c r="G680" s="21" t="s">
        <v>393</v>
      </c>
      <c r="H680" s="23">
        <v>1</v>
      </c>
      <c r="I680" s="21" t="s">
        <v>143</v>
      </c>
      <c r="J680" s="21" t="s">
        <v>192</v>
      </c>
      <c r="K680" s="21" t="s">
        <v>383</v>
      </c>
      <c r="L680" s="21" t="s">
        <v>146</v>
      </c>
      <c r="M680" s="23" t="s">
        <v>147</v>
      </c>
      <c r="N680" s="24" t="s">
        <v>400</v>
      </c>
    </row>
    <row r="681" spans="1:14" ht="15" customHeight="1" x14ac:dyDescent="0.3">
      <c r="A681" s="25" t="s">
        <v>380</v>
      </c>
      <c r="B681" s="25" t="s">
        <v>381</v>
      </c>
      <c r="C681" s="25" t="s">
        <v>382</v>
      </c>
      <c r="D681" s="25" t="s">
        <v>189</v>
      </c>
      <c r="E681" s="25" t="s">
        <v>141</v>
      </c>
      <c r="F681" s="26">
        <v>331803</v>
      </c>
      <c r="G681" s="25" t="s">
        <v>142</v>
      </c>
      <c r="H681" s="27">
        <v>1000</v>
      </c>
      <c r="I681" s="25" t="s">
        <v>143</v>
      </c>
      <c r="J681" s="25" t="s">
        <v>190</v>
      </c>
      <c r="K681" s="25" t="s">
        <v>383</v>
      </c>
      <c r="L681" s="25" t="s">
        <v>146</v>
      </c>
      <c r="M681" s="27" t="s">
        <v>147</v>
      </c>
      <c r="N681" s="28" t="s">
        <v>403</v>
      </c>
    </row>
    <row r="682" spans="1:14" ht="15" customHeight="1" x14ac:dyDescent="0.3">
      <c r="A682" s="21" t="s">
        <v>380</v>
      </c>
      <c r="B682" s="21" t="s">
        <v>385</v>
      </c>
      <c r="C682" s="21" t="s">
        <v>386</v>
      </c>
      <c r="D682" s="21" t="s">
        <v>189</v>
      </c>
      <c r="E682" s="21" t="s">
        <v>141</v>
      </c>
      <c r="F682" s="22">
        <v>428647</v>
      </c>
      <c r="G682" s="21" t="s">
        <v>142</v>
      </c>
      <c r="H682" s="23">
        <v>1000</v>
      </c>
      <c r="I682" s="21" t="s">
        <v>143</v>
      </c>
      <c r="J682" s="21" t="s">
        <v>190</v>
      </c>
      <c r="K682" s="21" t="s">
        <v>383</v>
      </c>
      <c r="L682" s="21" t="s">
        <v>146</v>
      </c>
      <c r="M682" s="23" t="s">
        <v>147</v>
      </c>
      <c r="N682" s="24" t="s">
        <v>403</v>
      </c>
    </row>
    <row r="683" spans="1:14" ht="15" customHeight="1" x14ac:dyDescent="0.3">
      <c r="A683" s="25" t="s">
        <v>380</v>
      </c>
      <c r="B683" s="25" t="s">
        <v>387</v>
      </c>
      <c r="C683" s="25" t="s">
        <v>388</v>
      </c>
      <c r="D683" s="25" t="s">
        <v>189</v>
      </c>
      <c r="E683" s="25" t="s">
        <v>141</v>
      </c>
      <c r="F683" s="26">
        <v>15457</v>
      </c>
      <c r="G683" s="25" t="s">
        <v>142</v>
      </c>
      <c r="H683" s="27">
        <v>1000</v>
      </c>
      <c r="I683" s="25" t="s">
        <v>143</v>
      </c>
      <c r="J683" s="25" t="s">
        <v>190</v>
      </c>
      <c r="K683" s="25" t="s">
        <v>389</v>
      </c>
      <c r="L683" s="25" t="s">
        <v>146</v>
      </c>
      <c r="M683" s="27" t="s">
        <v>147</v>
      </c>
      <c r="N683" s="28" t="s">
        <v>404</v>
      </c>
    </row>
    <row r="684" spans="1:14" ht="15" customHeight="1" x14ac:dyDescent="0.3">
      <c r="A684" s="21" t="s">
        <v>380</v>
      </c>
      <c r="B684" s="21" t="s">
        <v>391</v>
      </c>
      <c r="C684" s="21" t="s">
        <v>392</v>
      </c>
      <c r="D684" s="21" t="s">
        <v>189</v>
      </c>
      <c r="E684" s="21" t="s">
        <v>141</v>
      </c>
      <c r="F684" s="22">
        <v>16300000</v>
      </c>
      <c r="G684" s="21" t="s">
        <v>393</v>
      </c>
      <c r="H684" s="23">
        <v>1</v>
      </c>
      <c r="I684" s="21" t="s">
        <v>143</v>
      </c>
      <c r="J684" s="21" t="s">
        <v>190</v>
      </c>
      <c r="K684" s="21" t="s">
        <v>383</v>
      </c>
      <c r="L684" s="21" t="s">
        <v>146</v>
      </c>
      <c r="M684" s="23" t="s">
        <v>147</v>
      </c>
      <c r="N684" s="24" t="s">
        <v>405</v>
      </c>
    </row>
    <row r="685" spans="1:14" ht="15" customHeight="1" x14ac:dyDescent="0.3">
      <c r="A685" s="25" t="s">
        <v>380</v>
      </c>
      <c r="B685" s="25" t="s">
        <v>395</v>
      </c>
      <c r="C685" s="25" t="s">
        <v>396</v>
      </c>
      <c r="D685" s="25" t="s">
        <v>189</v>
      </c>
      <c r="E685" s="25" t="s">
        <v>141</v>
      </c>
      <c r="F685" s="26">
        <v>60700000</v>
      </c>
      <c r="G685" s="25" t="s">
        <v>393</v>
      </c>
      <c r="H685" s="27">
        <v>1</v>
      </c>
      <c r="I685" s="25" t="s">
        <v>143</v>
      </c>
      <c r="J685" s="25" t="s">
        <v>190</v>
      </c>
      <c r="K685" s="25" t="s">
        <v>383</v>
      </c>
      <c r="L685" s="25" t="s">
        <v>146</v>
      </c>
      <c r="M685" s="27" t="s">
        <v>147</v>
      </c>
      <c r="N685" s="28" t="s">
        <v>406</v>
      </c>
    </row>
    <row r="686" spans="1:14" ht="15" customHeight="1" x14ac:dyDescent="0.3">
      <c r="A686" s="21" t="s">
        <v>380</v>
      </c>
      <c r="B686" s="21" t="s">
        <v>398</v>
      </c>
      <c r="C686" s="21" t="s">
        <v>399</v>
      </c>
      <c r="D686" s="21" t="s">
        <v>189</v>
      </c>
      <c r="E686" s="21" t="s">
        <v>141</v>
      </c>
      <c r="F686" s="22">
        <v>4200000</v>
      </c>
      <c r="G686" s="21" t="s">
        <v>393</v>
      </c>
      <c r="H686" s="23">
        <v>1</v>
      </c>
      <c r="I686" s="21" t="s">
        <v>143</v>
      </c>
      <c r="J686" s="21" t="s">
        <v>190</v>
      </c>
      <c r="K686" s="21" t="s">
        <v>383</v>
      </c>
      <c r="L686" s="21" t="s">
        <v>146</v>
      </c>
      <c r="M686" s="23" t="s">
        <v>147</v>
      </c>
      <c r="N686" s="24" t="s">
        <v>400</v>
      </c>
    </row>
    <row r="687" spans="1:14" ht="15" customHeight="1" x14ac:dyDescent="0.3">
      <c r="A687" s="25" t="s">
        <v>380</v>
      </c>
      <c r="B687" s="25" t="s">
        <v>381</v>
      </c>
      <c r="C687" s="25" t="s">
        <v>382</v>
      </c>
      <c r="D687" s="25" t="s">
        <v>140</v>
      </c>
      <c r="E687" s="25" t="s">
        <v>141</v>
      </c>
      <c r="F687" s="26">
        <v>224520</v>
      </c>
      <c r="G687" s="25" t="s">
        <v>142</v>
      </c>
      <c r="H687" s="27">
        <v>1000</v>
      </c>
      <c r="I687" s="25" t="s">
        <v>143</v>
      </c>
      <c r="J687" s="25" t="s">
        <v>144</v>
      </c>
      <c r="K687" s="25" t="s">
        <v>383</v>
      </c>
      <c r="L687" s="25" t="s">
        <v>217</v>
      </c>
      <c r="M687" s="27" t="s">
        <v>147</v>
      </c>
      <c r="N687" s="28" t="s">
        <v>407</v>
      </c>
    </row>
    <row r="688" spans="1:14" ht="15" customHeight="1" x14ac:dyDescent="0.3">
      <c r="A688" s="21" t="s">
        <v>380</v>
      </c>
      <c r="B688" s="21" t="s">
        <v>385</v>
      </c>
      <c r="C688" s="21" t="s">
        <v>386</v>
      </c>
      <c r="D688" s="21" t="s">
        <v>140</v>
      </c>
      <c r="E688" s="21" t="s">
        <v>141</v>
      </c>
      <c r="F688" s="22">
        <v>294247</v>
      </c>
      <c r="G688" s="21" t="s">
        <v>142</v>
      </c>
      <c r="H688" s="23">
        <v>1000</v>
      </c>
      <c r="I688" s="21" t="s">
        <v>143</v>
      </c>
      <c r="J688" s="21" t="s">
        <v>144</v>
      </c>
      <c r="K688" s="21" t="s">
        <v>383</v>
      </c>
      <c r="L688" s="21" t="s">
        <v>217</v>
      </c>
      <c r="M688" s="23" t="s">
        <v>147</v>
      </c>
      <c r="N688" s="24" t="s">
        <v>407</v>
      </c>
    </row>
    <row r="689" spans="1:14" ht="15" customHeight="1" x14ac:dyDescent="0.3">
      <c r="A689" s="25" t="s">
        <v>380</v>
      </c>
      <c r="B689" s="25" t="s">
        <v>387</v>
      </c>
      <c r="C689" s="25" t="s">
        <v>388</v>
      </c>
      <c r="D689" s="25" t="s">
        <v>140</v>
      </c>
      <c r="E689" s="25" t="s">
        <v>141</v>
      </c>
      <c r="F689" s="26">
        <v>-1066</v>
      </c>
      <c r="G689" s="25" t="s">
        <v>142</v>
      </c>
      <c r="H689" s="27">
        <v>1000</v>
      </c>
      <c r="I689" s="25" t="s">
        <v>143</v>
      </c>
      <c r="J689" s="25" t="s">
        <v>144</v>
      </c>
      <c r="K689" s="25" t="s">
        <v>389</v>
      </c>
      <c r="L689" s="25" t="s">
        <v>217</v>
      </c>
      <c r="M689" s="27" t="s">
        <v>147</v>
      </c>
      <c r="N689" s="28" t="s">
        <v>408</v>
      </c>
    </row>
    <row r="690" spans="1:14" ht="15" customHeight="1" x14ac:dyDescent="0.3">
      <c r="A690" s="21" t="s">
        <v>380</v>
      </c>
      <c r="B690" s="21" t="s">
        <v>391</v>
      </c>
      <c r="C690" s="21" t="s">
        <v>392</v>
      </c>
      <c r="D690" s="21" t="s">
        <v>140</v>
      </c>
      <c r="E690" s="21" t="s">
        <v>141</v>
      </c>
      <c r="F690" s="22">
        <v>9600000</v>
      </c>
      <c r="G690" s="21" t="s">
        <v>393</v>
      </c>
      <c r="H690" s="23">
        <v>1</v>
      </c>
      <c r="I690" s="21" t="s">
        <v>143</v>
      </c>
      <c r="J690" s="21" t="s">
        <v>144</v>
      </c>
      <c r="K690" s="21" t="s">
        <v>383</v>
      </c>
      <c r="L690" s="21" t="s">
        <v>217</v>
      </c>
      <c r="M690" s="23" t="s">
        <v>147</v>
      </c>
      <c r="N690" s="24" t="s">
        <v>409</v>
      </c>
    </row>
    <row r="691" spans="1:14" ht="15" customHeight="1" x14ac:dyDescent="0.3">
      <c r="A691" s="25" t="s">
        <v>380</v>
      </c>
      <c r="B691" s="25" t="s">
        <v>395</v>
      </c>
      <c r="C691" s="25" t="s">
        <v>396</v>
      </c>
      <c r="D691" s="25" t="s">
        <v>140</v>
      </c>
      <c r="E691" s="25" t="s">
        <v>141</v>
      </c>
      <c r="F691" s="26">
        <v>40500000</v>
      </c>
      <c r="G691" s="25" t="s">
        <v>393</v>
      </c>
      <c r="H691" s="27">
        <v>1</v>
      </c>
      <c r="I691" s="25" t="s">
        <v>143</v>
      </c>
      <c r="J691" s="25" t="s">
        <v>144</v>
      </c>
      <c r="K691" s="25" t="s">
        <v>383</v>
      </c>
      <c r="L691" s="25" t="s">
        <v>217</v>
      </c>
      <c r="M691" s="27" t="s">
        <v>147</v>
      </c>
      <c r="N691" s="28" t="s">
        <v>410</v>
      </c>
    </row>
    <row r="692" spans="1:14" ht="15" customHeight="1" x14ac:dyDescent="0.3">
      <c r="A692" s="21" t="s">
        <v>380</v>
      </c>
      <c r="B692" s="21" t="s">
        <v>398</v>
      </c>
      <c r="C692" s="21" t="s">
        <v>399</v>
      </c>
      <c r="D692" s="21" t="s">
        <v>140</v>
      </c>
      <c r="E692" s="21" t="s">
        <v>141</v>
      </c>
      <c r="F692" s="22">
        <v>2500000</v>
      </c>
      <c r="G692" s="21" t="s">
        <v>393</v>
      </c>
      <c r="H692" s="23">
        <v>1</v>
      </c>
      <c r="I692" s="21" t="s">
        <v>143</v>
      </c>
      <c r="J692" s="21" t="s">
        <v>144</v>
      </c>
      <c r="K692" s="21" t="s">
        <v>383</v>
      </c>
      <c r="L692" s="21" t="s">
        <v>217</v>
      </c>
      <c r="M692" s="23" t="s">
        <v>147</v>
      </c>
      <c r="N692" s="24" t="s">
        <v>411</v>
      </c>
    </row>
    <row r="693" spans="1:14" ht="15" customHeight="1" x14ac:dyDescent="0.3">
      <c r="A693" s="25" t="s">
        <v>380</v>
      </c>
      <c r="B693" s="25" t="s">
        <v>381</v>
      </c>
      <c r="C693" s="25" t="s">
        <v>382</v>
      </c>
      <c r="D693" s="25" t="s">
        <v>199</v>
      </c>
      <c r="E693" s="25" t="s">
        <v>200</v>
      </c>
      <c r="F693" s="26">
        <v>240270</v>
      </c>
      <c r="G693" s="25" t="s">
        <v>142</v>
      </c>
      <c r="H693" s="27">
        <v>1000</v>
      </c>
      <c r="I693" s="25" t="s">
        <v>201</v>
      </c>
      <c r="J693" s="25" t="s">
        <v>412</v>
      </c>
      <c r="K693" s="25" t="s">
        <v>383</v>
      </c>
      <c r="L693" s="25" t="s">
        <v>203</v>
      </c>
      <c r="M693" s="27" t="s">
        <v>147</v>
      </c>
      <c r="N693" s="28" t="s">
        <v>403</v>
      </c>
    </row>
    <row r="694" spans="1:14" ht="15" customHeight="1" x14ac:dyDescent="0.3">
      <c r="A694" s="21" t="s">
        <v>380</v>
      </c>
      <c r="B694" s="21" t="s">
        <v>385</v>
      </c>
      <c r="C694" s="21" t="s">
        <v>386</v>
      </c>
      <c r="D694" s="21" t="s">
        <v>199</v>
      </c>
      <c r="E694" s="21" t="s">
        <v>200</v>
      </c>
      <c r="F694" s="22">
        <v>281919</v>
      </c>
      <c r="G694" s="21" t="s">
        <v>142</v>
      </c>
      <c r="H694" s="23">
        <v>1000</v>
      </c>
      <c r="I694" s="21" t="s">
        <v>201</v>
      </c>
      <c r="J694" s="21" t="s">
        <v>412</v>
      </c>
      <c r="K694" s="21" t="s">
        <v>383</v>
      </c>
      <c r="L694" s="21" t="s">
        <v>203</v>
      </c>
      <c r="M694" s="23" t="s">
        <v>147</v>
      </c>
      <c r="N694" s="24" t="s">
        <v>403</v>
      </c>
    </row>
    <row r="695" spans="1:14" ht="15" customHeight="1" x14ac:dyDescent="0.3">
      <c r="A695" s="25" t="s">
        <v>380</v>
      </c>
      <c r="B695" s="25" t="s">
        <v>387</v>
      </c>
      <c r="C695" s="25" t="s">
        <v>388</v>
      </c>
      <c r="D695" s="25" t="s">
        <v>199</v>
      </c>
      <c r="E695" s="25" t="s">
        <v>200</v>
      </c>
      <c r="F695" s="26">
        <v>80046</v>
      </c>
      <c r="G695" s="25" t="s">
        <v>142</v>
      </c>
      <c r="H695" s="27">
        <v>1000</v>
      </c>
      <c r="I695" s="25" t="s">
        <v>201</v>
      </c>
      <c r="J695" s="25" t="s">
        <v>412</v>
      </c>
      <c r="K695" s="25" t="s">
        <v>389</v>
      </c>
      <c r="L695" s="25" t="s">
        <v>203</v>
      </c>
      <c r="M695" s="27" t="s">
        <v>147</v>
      </c>
      <c r="N695" s="28" t="s">
        <v>413</v>
      </c>
    </row>
    <row r="696" spans="1:14" ht="15" customHeight="1" x14ac:dyDescent="0.3">
      <c r="A696" s="21" t="s">
        <v>380</v>
      </c>
      <c r="B696" s="21" t="s">
        <v>381</v>
      </c>
      <c r="C696" s="21" t="s">
        <v>382</v>
      </c>
      <c r="D696" s="21" t="s">
        <v>211</v>
      </c>
      <c r="E696" s="21" t="s">
        <v>212</v>
      </c>
      <c r="F696" s="22">
        <v>699713</v>
      </c>
      <c r="G696" s="21" t="s">
        <v>142</v>
      </c>
      <c r="H696" s="23">
        <v>1000</v>
      </c>
      <c r="I696" s="21" t="s">
        <v>201</v>
      </c>
      <c r="J696" s="21" t="s">
        <v>414</v>
      </c>
      <c r="K696" s="21" t="s">
        <v>383</v>
      </c>
      <c r="L696" s="21" t="s">
        <v>203</v>
      </c>
      <c r="M696" s="23" t="s">
        <v>147</v>
      </c>
      <c r="N696" s="24" t="s">
        <v>403</v>
      </c>
    </row>
    <row r="697" spans="1:14" ht="15" customHeight="1" x14ac:dyDescent="0.3">
      <c r="A697" s="25" t="s">
        <v>380</v>
      </c>
      <c r="B697" s="25" t="s">
        <v>385</v>
      </c>
      <c r="C697" s="25" t="s">
        <v>386</v>
      </c>
      <c r="D697" s="25" t="s">
        <v>211</v>
      </c>
      <c r="E697" s="25" t="s">
        <v>212</v>
      </c>
      <c r="F697" s="26">
        <v>821587</v>
      </c>
      <c r="G697" s="25" t="s">
        <v>142</v>
      </c>
      <c r="H697" s="27">
        <v>1000</v>
      </c>
      <c r="I697" s="25" t="s">
        <v>201</v>
      </c>
      <c r="J697" s="25" t="s">
        <v>414</v>
      </c>
      <c r="K697" s="25" t="s">
        <v>383</v>
      </c>
      <c r="L697" s="25" t="s">
        <v>203</v>
      </c>
      <c r="M697" s="27" t="s">
        <v>147</v>
      </c>
      <c r="N697" s="28" t="s">
        <v>403</v>
      </c>
    </row>
    <row r="698" spans="1:14" ht="15" customHeight="1" x14ac:dyDescent="0.3">
      <c r="A698" s="21" t="s">
        <v>380</v>
      </c>
      <c r="B698" s="21" t="s">
        <v>387</v>
      </c>
      <c r="C698" s="21" t="s">
        <v>388</v>
      </c>
      <c r="D698" s="21" t="s">
        <v>211</v>
      </c>
      <c r="E698" s="21" t="s">
        <v>212</v>
      </c>
      <c r="F698" s="22">
        <v>221530</v>
      </c>
      <c r="G698" s="21" t="s">
        <v>142</v>
      </c>
      <c r="H698" s="23">
        <v>1000</v>
      </c>
      <c r="I698" s="21" t="s">
        <v>201</v>
      </c>
      <c r="J698" s="21" t="s">
        <v>414</v>
      </c>
      <c r="K698" s="21" t="s">
        <v>389</v>
      </c>
      <c r="L698" s="21" t="s">
        <v>203</v>
      </c>
      <c r="M698" s="23" t="s">
        <v>147</v>
      </c>
      <c r="N698" s="24" t="s">
        <v>413</v>
      </c>
    </row>
    <row r="699" spans="1:14" ht="15" customHeight="1" x14ac:dyDescent="0.3">
      <c r="A699" s="25" t="s">
        <v>380</v>
      </c>
      <c r="B699" s="25" t="s">
        <v>391</v>
      </c>
      <c r="C699" s="25" t="s">
        <v>392</v>
      </c>
      <c r="D699" s="25" t="s">
        <v>199</v>
      </c>
      <c r="E699" s="25" t="s">
        <v>200</v>
      </c>
      <c r="F699" s="26">
        <v>50500000</v>
      </c>
      <c r="G699" s="25" t="s">
        <v>393</v>
      </c>
      <c r="H699" s="27">
        <v>1</v>
      </c>
      <c r="I699" s="25" t="s">
        <v>201</v>
      </c>
      <c r="J699" s="25" t="s">
        <v>412</v>
      </c>
      <c r="K699" s="25" t="s">
        <v>383</v>
      </c>
      <c r="L699" s="25" t="s">
        <v>203</v>
      </c>
      <c r="M699" s="27" t="s">
        <v>147</v>
      </c>
      <c r="N699" s="28" t="s">
        <v>415</v>
      </c>
    </row>
    <row r="700" spans="1:14" ht="15" customHeight="1" x14ac:dyDescent="0.3">
      <c r="A700" s="21" t="s">
        <v>380</v>
      </c>
      <c r="B700" s="21" t="s">
        <v>395</v>
      </c>
      <c r="C700" s="21" t="s">
        <v>396</v>
      </c>
      <c r="D700" s="21" t="s">
        <v>199</v>
      </c>
      <c r="E700" s="21" t="s">
        <v>200</v>
      </c>
      <c r="F700" s="22">
        <v>135300000</v>
      </c>
      <c r="G700" s="21" t="s">
        <v>393</v>
      </c>
      <c r="H700" s="23">
        <v>1</v>
      </c>
      <c r="I700" s="21" t="s">
        <v>201</v>
      </c>
      <c r="J700" s="21" t="s">
        <v>412</v>
      </c>
      <c r="K700" s="21" t="s">
        <v>383</v>
      </c>
      <c r="L700" s="21" t="s">
        <v>203</v>
      </c>
      <c r="M700" s="23" t="s">
        <v>147</v>
      </c>
      <c r="N700" s="24" t="s">
        <v>416</v>
      </c>
    </row>
    <row r="701" spans="1:14" ht="15" customHeight="1" x14ac:dyDescent="0.3">
      <c r="A701" s="25" t="s">
        <v>380</v>
      </c>
      <c r="B701" s="25" t="s">
        <v>398</v>
      </c>
      <c r="C701" s="25" t="s">
        <v>399</v>
      </c>
      <c r="D701" s="25" t="s">
        <v>199</v>
      </c>
      <c r="E701" s="25" t="s">
        <v>200</v>
      </c>
      <c r="F701" s="26">
        <v>11500000</v>
      </c>
      <c r="G701" s="25" t="s">
        <v>393</v>
      </c>
      <c r="H701" s="27">
        <v>1</v>
      </c>
      <c r="I701" s="25" t="s">
        <v>201</v>
      </c>
      <c r="J701" s="25" t="s">
        <v>412</v>
      </c>
      <c r="K701" s="25" t="s">
        <v>383</v>
      </c>
      <c r="L701" s="25" t="s">
        <v>203</v>
      </c>
      <c r="M701" s="27" t="s">
        <v>147</v>
      </c>
      <c r="N701" s="28" t="s">
        <v>400</v>
      </c>
    </row>
    <row r="702" spans="1:14" ht="15" customHeight="1" x14ac:dyDescent="0.3">
      <c r="A702" s="21" t="s">
        <v>380</v>
      </c>
      <c r="B702" s="21" t="s">
        <v>381</v>
      </c>
      <c r="C702" s="21" t="s">
        <v>382</v>
      </c>
      <c r="D702" s="21" t="s">
        <v>205</v>
      </c>
      <c r="E702" s="21" t="s">
        <v>200</v>
      </c>
      <c r="F702" s="22">
        <v>268065</v>
      </c>
      <c r="G702" s="21" t="s">
        <v>142</v>
      </c>
      <c r="H702" s="23">
        <v>1000</v>
      </c>
      <c r="I702" s="21" t="s">
        <v>201</v>
      </c>
      <c r="J702" s="21" t="s">
        <v>417</v>
      </c>
      <c r="K702" s="21" t="s">
        <v>383</v>
      </c>
      <c r="L702" s="21" t="s">
        <v>207</v>
      </c>
      <c r="M702" s="23" t="s">
        <v>147</v>
      </c>
      <c r="N702" s="24" t="s">
        <v>384</v>
      </c>
    </row>
    <row r="703" spans="1:14" ht="15" customHeight="1" x14ac:dyDescent="0.3">
      <c r="A703" s="25" t="s">
        <v>380</v>
      </c>
      <c r="B703" s="25" t="s">
        <v>385</v>
      </c>
      <c r="C703" s="25" t="s">
        <v>386</v>
      </c>
      <c r="D703" s="25" t="s">
        <v>205</v>
      </c>
      <c r="E703" s="25" t="s">
        <v>200</v>
      </c>
      <c r="F703" s="26">
        <v>308484</v>
      </c>
      <c r="G703" s="25" t="s">
        <v>142</v>
      </c>
      <c r="H703" s="27">
        <v>1000</v>
      </c>
      <c r="I703" s="25" t="s">
        <v>201</v>
      </c>
      <c r="J703" s="25" t="s">
        <v>417</v>
      </c>
      <c r="K703" s="25" t="s">
        <v>383</v>
      </c>
      <c r="L703" s="25" t="s">
        <v>207</v>
      </c>
      <c r="M703" s="27" t="s">
        <v>147</v>
      </c>
      <c r="N703" s="28" t="s">
        <v>384</v>
      </c>
    </row>
    <row r="704" spans="1:14" ht="15" customHeight="1" x14ac:dyDescent="0.3">
      <c r="A704" s="21" t="s">
        <v>380</v>
      </c>
      <c r="B704" s="21" t="s">
        <v>387</v>
      </c>
      <c r="C704" s="21" t="s">
        <v>388</v>
      </c>
      <c r="D704" s="21" t="s">
        <v>205</v>
      </c>
      <c r="E704" s="21" t="s">
        <v>200</v>
      </c>
      <c r="F704" s="22">
        <v>83432</v>
      </c>
      <c r="G704" s="21" t="s">
        <v>142</v>
      </c>
      <c r="H704" s="23">
        <v>1000</v>
      </c>
      <c r="I704" s="21" t="s">
        <v>201</v>
      </c>
      <c r="J704" s="21" t="s">
        <v>417</v>
      </c>
      <c r="K704" s="21" t="s">
        <v>389</v>
      </c>
      <c r="L704" s="21" t="s">
        <v>207</v>
      </c>
      <c r="M704" s="23" t="s">
        <v>147</v>
      </c>
      <c r="N704" s="24" t="s">
        <v>418</v>
      </c>
    </row>
    <row r="705" spans="1:14" ht="15" customHeight="1" x14ac:dyDescent="0.3">
      <c r="A705" s="25" t="s">
        <v>380</v>
      </c>
      <c r="B705" s="25" t="s">
        <v>391</v>
      </c>
      <c r="C705" s="25" t="s">
        <v>392</v>
      </c>
      <c r="D705" s="25" t="s">
        <v>205</v>
      </c>
      <c r="E705" s="25" t="s">
        <v>200</v>
      </c>
      <c r="F705" s="26">
        <v>56500000</v>
      </c>
      <c r="G705" s="25" t="s">
        <v>393</v>
      </c>
      <c r="H705" s="27">
        <v>1</v>
      </c>
      <c r="I705" s="25" t="s">
        <v>201</v>
      </c>
      <c r="J705" s="25" t="s">
        <v>417</v>
      </c>
      <c r="K705" s="25" t="s">
        <v>383</v>
      </c>
      <c r="L705" s="25" t="s">
        <v>207</v>
      </c>
      <c r="M705" s="27" t="s">
        <v>147</v>
      </c>
      <c r="N705" s="28" t="s">
        <v>419</v>
      </c>
    </row>
    <row r="706" spans="1:14" ht="15" customHeight="1" x14ac:dyDescent="0.3">
      <c r="A706" s="21" t="s">
        <v>380</v>
      </c>
      <c r="B706" s="21" t="s">
        <v>398</v>
      </c>
      <c r="C706" s="21" t="s">
        <v>399</v>
      </c>
      <c r="D706" s="21" t="s">
        <v>205</v>
      </c>
      <c r="E706" s="21" t="s">
        <v>200</v>
      </c>
      <c r="F706" s="22">
        <v>12500000</v>
      </c>
      <c r="G706" s="21" t="s">
        <v>393</v>
      </c>
      <c r="H706" s="23">
        <v>1</v>
      </c>
      <c r="I706" s="21" t="s">
        <v>201</v>
      </c>
      <c r="J706" s="21" t="s">
        <v>417</v>
      </c>
      <c r="K706" s="21" t="s">
        <v>383</v>
      </c>
      <c r="L706" s="21" t="s">
        <v>207</v>
      </c>
      <c r="M706" s="23" t="s">
        <v>147</v>
      </c>
      <c r="N706" s="24" t="s">
        <v>400</v>
      </c>
    </row>
    <row r="707" spans="1:14" ht="15" customHeight="1" x14ac:dyDescent="0.3">
      <c r="A707" s="25" t="s">
        <v>380</v>
      </c>
      <c r="B707" s="25" t="s">
        <v>381</v>
      </c>
      <c r="C707" s="25" t="s">
        <v>382</v>
      </c>
      <c r="D707" s="25" t="s">
        <v>208</v>
      </c>
      <c r="E707" s="25" t="s">
        <v>200</v>
      </c>
      <c r="F707" s="26">
        <v>250316</v>
      </c>
      <c r="G707" s="25" t="s">
        <v>142</v>
      </c>
      <c r="H707" s="27">
        <v>1000</v>
      </c>
      <c r="I707" s="25" t="s">
        <v>201</v>
      </c>
      <c r="J707" s="25" t="s">
        <v>420</v>
      </c>
      <c r="K707" s="25" t="s">
        <v>383</v>
      </c>
      <c r="L707" s="25" t="s">
        <v>210</v>
      </c>
      <c r="M707" s="27" t="s">
        <v>147</v>
      </c>
      <c r="N707" s="28" t="s">
        <v>384</v>
      </c>
    </row>
    <row r="708" spans="1:14" ht="15" customHeight="1" x14ac:dyDescent="0.3">
      <c r="A708" s="21" t="s">
        <v>380</v>
      </c>
      <c r="B708" s="21" t="s">
        <v>385</v>
      </c>
      <c r="C708" s="21" t="s">
        <v>386</v>
      </c>
      <c r="D708" s="21" t="s">
        <v>208</v>
      </c>
      <c r="E708" s="21" t="s">
        <v>200</v>
      </c>
      <c r="F708" s="22">
        <v>289054</v>
      </c>
      <c r="G708" s="21" t="s">
        <v>142</v>
      </c>
      <c r="H708" s="23">
        <v>1000</v>
      </c>
      <c r="I708" s="21" t="s">
        <v>201</v>
      </c>
      <c r="J708" s="21" t="s">
        <v>420</v>
      </c>
      <c r="K708" s="21" t="s">
        <v>383</v>
      </c>
      <c r="L708" s="21" t="s">
        <v>210</v>
      </c>
      <c r="M708" s="23" t="s">
        <v>147</v>
      </c>
      <c r="N708" s="24" t="s">
        <v>384</v>
      </c>
    </row>
    <row r="709" spans="1:14" ht="15" customHeight="1" x14ac:dyDescent="0.3">
      <c r="A709" s="25" t="s">
        <v>380</v>
      </c>
      <c r="B709" s="25" t="s">
        <v>387</v>
      </c>
      <c r="C709" s="25" t="s">
        <v>388</v>
      </c>
      <c r="D709" s="25" t="s">
        <v>208</v>
      </c>
      <c r="E709" s="25" t="s">
        <v>200</v>
      </c>
      <c r="F709" s="26">
        <v>77315</v>
      </c>
      <c r="G709" s="25" t="s">
        <v>142</v>
      </c>
      <c r="H709" s="27">
        <v>1000</v>
      </c>
      <c r="I709" s="25" t="s">
        <v>201</v>
      </c>
      <c r="J709" s="25" t="s">
        <v>420</v>
      </c>
      <c r="K709" s="25" t="s">
        <v>389</v>
      </c>
      <c r="L709" s="25" t="s">
        <v>210</v>
      </c>
      <c r="M709" s="27" t="s">
        <v>147</v>
      </c>
      <c r="N709" s="28" t="s">
        <v>421</v>
      </c>
    </row>
    <row r="710" spans="1:14" ht="15" customHeight="1" x14ac:dyDescent="0.3">
      <c r="A710" s="21" t="s">
        <v>380</v>
      </c>
      <c r="B710" s="21" t="s">
        <v>391</v>
      </c>
      <c r="C710" s="21" t="s">
        <v>392</v>
      </c>
      <c r="D710" s="21" t="s">
        <v>208</v>
      </c>
      <c r="E710" s="21" t="s">
        <v>200</v>
      </c>
      <c r="F710" s="22">
        <v>58700000</v>
      </c>
      <c r="G710" s="21" t="s">
        <v>393</v>
      </c>
      <c r="H710" s="23">
        <v>1</v>
      </c>
      <c r="I710" s="21" t="s">
        <v>201</v>
      </c>
      <c r="J710" s="21" t="s">
        <v>420</v>
      </c>
      <c r="K710" s="21" t="s">
        <v>383</v>
      </c>
      <c r="L710" s="21" t="s">
        <v>210</v>
      </c>
      <c r="M710" s="23" t="s">
        <v>147</v>
      </c>
      <c r="N710" s="24" t="s">
        <v>422</v>
      </c>
    </row>
    <row r="711" spans="1:14" ht="15" customHeight="1" x14ac:dyDescent="0.3">
      <c r="A711" s="25" t="s">
        <v>380</v>
      </c>
      <c r="B711" s="25" t="s">
        <v>398</v>
      </c>
      <c r="C711" s="25" t="s">
        <v>399</v>
      </c>
      <c r="D711" s="25" t="s">
        <v>208</v>
      </c>
      <c r="E711" s="25" t="s">
        <v>200</v>
      </c>
      <c r="F711" s="26">
        <v>12700000</v>
      </c>
      <c r="G711" s="25" t="s">
        <v>393</v>
      </c>
      <c r="H711" s="27">
        <v>1</v>
      </c>
      <c r="I711" s="25" t="s">
        <v>201</v>
      </c>
      <c r="J711" s="25" t="s">
        <v>420</v>
      </c>
      <c r="K711" s="25" t="s">
        <v>383</v>
      </c>
      <c r="L711" s="25" t="s">
        <v>210</v>
      </c>
      <c r="M711" s="27" t="s">
        <v>147</v>
      </c>
      <c r="N711" s="28" t="s">
        <v>400</v>
      </c>
    </row>
  </sheetData>
  <sheetProtection sheet="1" formatCells="0" formatColumns="0" formatRows="0" insertRows="0" deleteRows="0" sort="0" autoFilter="0"/>
  <autoFilter ref="A5:N5" xr:uid="{00000000-0009-0000-0000-000002000000}"/>
  <mergeCells count="2">
    <mergeCell ref="A1:L1"/>
    <mergeCell ref="A2:L2"/>
  </mergeCells>
  <pageMargins left="0.7" right="0.7" top="0.75" bottom="0.75" header="0.3" footer="0.3"/>
  <pageSetup fitToHeight="0" orientation="landscape" useFirstPageNumber="1" horizontalDpi="4294967295" verticalDpi="4294967295"/>
  <headerFooter>
    <oddHeader>&amp;L&amp;"Calibri,Bold"02_Sources&amp;R&amp;P / &amp;N</oddHeader>
    <oddFooter>&amp;LInternal model — not investment advice&amp;RAs-of 2026-10-06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2937"/>
    <pageSetUpPr fitToPage="1"/>
  </sheetPr>
  <dimension ref="A1:L132"/>
  <sheetViews>
    <sheetView zoomScaleNormal="100" workbookViewId="0">
      <pane xSplit="1" ySplit="4" topLeftCell="B5" activePane="bottomRight" state="frozen"/>
      <selection pane="topRight"/>
      <selection pane="bottomLeft"/>
      <selection pane="bottomRight" sqref="A1:L1"/>
    </sheetView>
  </sheetViews>
  <sheetFormatPr defaultRowHeight="14.4" x14ac:dyDescent="0.3"/>
  <cols>
    <col min="1" max="1" width="48" customWidth="1"/>
    <col min="2" max="11" width="13" customWidth="1"/>
    <col min="12" max="12" width="26" customWidth="1"/>
  </cols>
  <sheetData>
    <row r="1" spans="1:12" ht="22.05" customHeight="1" x14ac:dyDescent="0.4">
      <c r="A1" s="91" t="s">
        <v>423</v>
      </c>
      <c r="B1" s="91"/>
      <c r="C1" s="91"/>
      <c r="D1" s="91"/>
      <c r="E1" s="91"/>
      <c r="F1" s="91"/>
      <c r="G1" s="91"/>
      <c r="H1" s="91"/>
      <c r="I1" s="91"/>
      <c r="J1" s="91"/>
      <c r="K1" s="91"/>
      <c r="L1" s="91"/>
    </row>
    <row r="2" spans="1:12" x14ac:dyDescent="0.3">
      <c r="A2" s="92" t="s">
        <v>424</v>
      </c>
      <c r="B2" s="92"/>
      <c r="C2" s="92"/>
      <c r="D2" s="92"/>
      <c r="E2" s="92"/>
      <c r="F2" s="92"/>
      <c r="G2" s="92"/>
      <c r="H2" s="92"/>
      <c r="I2" s="92"/>
      <c r="J2" s="92"/>
      <c r="K2" s="92"/>
      <c r="L2" s="92"/>
    </row>
    <row r="3" spans="1:12" x14ac:dyDescent="0.3">
      <c r="A3" s="1" t="s">
        <v>425</v>
      </c>
    </row>
    <row r="4" spans="1:12" ht="19.95" customHeight="1" x14ac:dyDescent="0.3">
      <c r="A4" s="2" t="s">
        <v>125</v>
      </c>
      <c r="B4" s="2" t="s">
        <v>140</v>
      </c>
      <c r="C4" s="2" t="s">
        <v>189</v>
      </c>
      <c r="D4" s="2" t="s">
        <v>191</v>
      </c>
      <c r="E4" s="2" t="s">
        <v>195</v>
      </c>
      <c r="F4" s="2" t="s">
        <v>197</v>
      </c>
      <c r="G4" s="2" t="s">
        <v>211</v>
      </c>
      <c r="H4" s="2" t="s">
        <v>219</v>
      </c>
      <c r="I4" s="2" t="s">
        <v>199</v>
      </c>
      <c r="J4" s="2" t="s">
        <v>205</v>
      </c>
      <c r="K4" s="2" t="s">
        <v>208</v>
      </c>
      <c r="L4" s="2" t="s">
        <v>426</v>
      </c>
    </row>
    <row r="5" spans="1:12" ht="18" customHeight="1" x14ac:dyDescent="0.3">
      <c r="A5" s="29" t="s">
        <v>427</v>
      </c>
    </row>
    <row r="6" spans="1:12" x14ac:dyDescent="0.3">
      <c r="A6" s="3" t="s">
        <v>139</v>
      </c>
      <c r="B6" s="18">
        <v>180698</v>
      </c>
      <c r="C6" s="18">
        <v>273507</v>
      </c>
      <c r="D6" s="18">
        <v>404684</v>
      </c>
      <c r="E6" s="18">
        <v>607531</v>
      </c>
      <c r="F6" s="18">
        <v>873442</v>
      </c>
      <c r="G6" s="18">
        <v>631156</v>
      </c>
      <c r="H6" s="30" t="s">
        <v>428</v>
      </c>
      <c r="I6" s="18">
        <v>229491</v>
      </c>
      <c r="J6" s="18">
        <v>250908</v>
      </c>
      <c r="K6" s="18">
        <v>258035</v>
      </c>
      <c r="L6" s="31" t="s">
        <v>145</v>
      </c>
    </row>
    <row r="7" spans="1:12" x14ac:dyDescent="0.3">
      <c r="A7" s="3" t="s">
        <v>149</v>
      </c>
      <c r="B7" s="18">
        <v>38501</v>
      </c>
      <c r="C7" s="18">
        <v>44731</v>
      </c>
      <c r="D7" s="18">
        <v>49858</v>
      </c>
      <c r="E7" s="18">
        <v>54907</v>
      </c>
      <c r="F7" s="18">
        <v>79725</v>
      </c>
      <c r="G7" s="18">
        <v>59504</v>
      </c>
      <c r="H7" s="30" t="s">
        <v>428</v>
      </c>
      <c r="I7" s="18">
        <v>21019</v>
      </c>
      <c r="J7" s="18">
        <v>20614</v>
      </c>
      <c r="K7" s="18">
        <v>21052</v>
      </c>
      <c r="L7" s="31" t="s">
        <v>145</v>
      </c>
    </row>
    <row r="8" spans="1:12" x14ac:dyDescent="0.3">
      <c r="A8" s="3" t="s">
        <v>151</v>
      </c>
      <c r="B8" s="18">
        <v>24658</v>
      </c>
      <c r="C8" s="18">
        <v>32718</v>
      </c>
      <c r="D8" s="18">
        <v>41212</v>
      </c>
      <c r="E8" s="18">
        <v>45640</v>
      </c>
      <c r="F8" s="18">
        <v>42006</v>
      </c>
      <c r="G8" s="18">
        <v>31723</v>
      </c>
      <c r="H8" s="30" t="s">
        <v>428</v>
      </c>
      <c r="I8" s="18">
        <v>9649</v>
      </c>
      <c r="J8" s="18">
        <v>11317</v>
      </c>
      <c r="K8" s="18">
        <v>10109</v>
      </c>
      <c r="L8" s="31" t="s">
        <v>145</v>
      </c>
    </row>
    <row r="9" spans="1:12" x14ac:dyDescent="0.3">
      <c r="A9" s="3" t="s">
        <v>153</v>
      </c>
      <c r="B9" s="18">
        <v>6836</v>
      </c>
      <c r="C9" s="18">
        <v>17914</v>
      </c>
      <c r="D9" s="18">
        <v>34673</v>
      </c>
      <c r="E9" s="18">
        <v>38653</v>
      </c>
      <c r="F9" s="18">
        <v>40479</v>
      </c>
      <c r="G9" s="18">
        <v>30928</v>
      </c>
      <c r="H9" s="30" t="s">
        <v>428</v>
      </c>
      <c r="I9" s="18">
        <v>11096</v>
      </c>
      <c r="J9" s="18">
        <v>8446</v>
      </c>
      <c r="K9" s="18">
        <v>8002</v>
      </c>
      <c r="L9" s="31" t="s">
        <v>145</v>
      </c>
    </row>
    <row r="10" spans="1:12" x14ac:dyDescent="0.3">
      <c r="A10" s="3" t="s">
        <v>155</v>
      </c>
      <c r="B10" s="18">
        <v>79</v>
      </c>
      <c r="C10" s="18">
        <v>625</v>
      </c>
      <c r="D10" s="18">
        <v>682</v>
      </c>
      <c r="E10" s="18">
        <v>1293</v>
      </c>
      <c r="F10" s="18">
        <v>1937</v>
      </c>
      <c r="G10" s="18">
        <v>1410</v>
      </c>
      <c r="H10" s="30" t="s">
        <v>428</v>
      </c>
      <c r="I10" s="18">
        <v>458</v>
      </c>
      <c r="J10" s="18">
        <v>682</v>
      </c>
      <c r="K10" s="18">
        <v>1256</v>
      </c>
      <c r="L10" s="31" t="s">
        <v>145</v>
      </c>
    </row>
    <row r="11" spans="1:12" x14ac:dyDescent="0.3">
      <c r="A11" s="3" t="s">
        <v>157</v>
      </c>
      <c r="B11" s="18">
        <v>250772</v>
      </c>
      <c r="C11" s="18">
        <v>369495</v>
      </c>
      <c r="D11" s="18">
        <v>531109</v>
      </c>
      <c r="E11" s="18">
        <v>748024</v>
      </c>
      <c r="F11" s="18">
        <v>1037589</v>
      </c>
      <c r="G11" s="18">
        <v>754721</v>
      </c>
      <c r="H11" s="30" t="s">
        <v>428</v>
      </c>
      <c r="I11" s="18">
        <v>271713</v>
      </c>
      <c r="J11" s="18">
        <v>291967</v>
      </c>
      <c r="K11" s="18">
        <v>298454</v>
      </c>
      <c r="L11" s="31" t="s">
        <v>145</v>
      </c>
    </row>
    <row r="12" spans="1:12" x14ac:dyDescent="0.3">
      <c r="A12" s="3" t="s">
        <v>159</v>
      </c>
      <c r="B12" s="18">
        <v>69186</v>
      </c>
      <c r="C12" s="18">
        <v>99431</v>
      </c>
      <c r="D12" s="18">
        <v>142105</v>
      </c>
      <c r="E12" s="18">
        <v>203645</v>
      </c>
      <c r="F12" s="18">
        <v>288132</v>
      </c>
      <c r="G12" s="18">
        <v>211133</v>
      </c>
      <c r="H12" s="30" t="s">
        <v>428</v>
      </c>
      <c r="I12" s="18">
        <v>74802</v>
      </c>
      <c r="J12" s="18">
        <v>78871</v>
      </c>
      <c r="K12" s="18">
        <v>81714</v>
      </c>
      <c r="L12" s="31" t="s">
        <v>194</v>
      </c>
    </row>
    <row r="13" spans="1:12" x14ac:dyDescent="0.3">
      <c r="A13" s="3" t="s">
        <v>162</v>
      </c>
      <c r="B13" s="18">
        <v>181586</v>
      </c>
      <c r="C13" s="18">
        <v>270064</v>
      </c>
      <c r="D13" s="18">
        <v>389004</v>
      </c>
      <c r="E13" s="18">
        <v>544379</v>
      </c>
      <c r="F13" s="18">
        <v>749457</v>
      </c>
      <c r="G13" s="18">
        <v>543588</v>
      </c>
      <c r="H13" s="30" t="s">
        <v>428</v>
      </c>
      <c r="I13" s="18">
        <v>196911</v>
      </c>
      <c r="J13" s="18">
        <v>213096</v>
      </c>
      <c r="K13" s="18">
        <v>216740</v>
      </c>
      <c r="L13" s="31" t="s">
        <v>194</v>
      </c>
    </row>
    <row r="14" spans="1:12" x14ac:dyDescent="0.3">
      <c r="A14" s="3" t="s">
        <v>164</v>
      </c>
      <c r="B14" s="18">
        <v>103833</v>
      </c>
      <c r="C14" s="18">
        <v>150444</v>
      </c>
      <c r="D14" s="18">
        <v>194352</v>
      </c>
      <c r="E14" s="18">
        <v>235298</v>
      </c>
      <c r="F14" s="18">
        <v>306323</v>
      </c>
      <c r="G14" s="18">
        <v>226767</v>
      </c>
      <c r="H14" s="30" t="s">
        <v>428</v>
      </c>
      <c r="I14" s="18">
        <v>82707</v>
      </c>
      <c r="J14" s="18">
        <v>82974</v>
      </c>
      <c r="K14" s="18">
        <v>92195</v>
      </c>
      <c r="L14" s="31" t="s">
        <v>194</v>
      </c>
    </row>
    <row r="15" spans="1:12" x14ac:dyDescent="0.3">
      <c r="A15" s="3" t="s">
        <v>166</v>
      </c>
      <c r="B15" s="18">
        <v>59170</v>
      </c>
      <c r="C15" s="18">
        <v>66967</v>
      </c>
      <c r="D15" s="18">
        <v>75788</v>
      </c>
      <c r="E15" s="18">
        <v>90494</v>
      </c>
      <c r="F15" s="18">
        <v>125677</v>
      </c>
      <c r="G15" s="18">
        <v>91306</v>
      </c>
      <c r="H15" s="30" t="s">
        <v>428</v>
      </c>
      <c r="I15" s="18">
        <v>35081</v>
      </c>
      <c r="J15" s="18">
        <v>39249</v>
      </c>
      <c r="K15" s="18">
        <v>40007</v>
      </c>
      <c r="L15" s="31" t="s">
        <v>194</v>
      </c>
    </row>
    <row r="16" spans="1:12" x14ac:dyDescent="0.3">
      <c r="A16" s="3" t="s">
        <v>168</v>
      </c>
      <c r="B16" s="18">
        <v>78590</v>
      </c>
      <c r="C16" s="18">
        <v>117848</v>
      </c>
      <c r="D16" s="18">
        <v>132123</v>
      </c>
      <c r="E16" s="18">
        <v>155992</v>
      </c>
      <c r="F16" s="18">
        <v>181887</v>
      </c>
      <c r="G16" s="18">
        <v>133399</v>
      </c>
      <c r="H16" s="30" t="s">
        <v>428</v>
      </c>
      <c r="I16" s="18">
        <v>43964</v>
      </c>
      <c r="J16" s="18">
        <v>46346</v>
      </c>
      <c r="K16" s="18">
        <v>50593</v>
      </c>
      <c r="L16" s="31" t="s">
        <v>194</v>
      </c>
    </row>
    <row r="17" spans="1:12" x14ac:dyDescent="0.3">
      <c r="A17" s="3" t="s">
        <v>170</v>
      </c>
      <c r="B17" s="18">
        <v>241593</v>
      </c>
      <c r="C17" s="18">
        <v>335259</v>
      </c>
      <c r="D17" s="18">
        <v>402263</v>
      </c>
      <c r="E17" s="18">
        <v>481784</v>
      </c>
      <c r="F17" s="18">
        <v>613887</v>
      </c>
      <c r="G17" s="18">
        <v>451472</v>
      </c>
      <c r="H17" s="30" t="s">
        <v>428</v>
      </c>
      <c r="I17" s="18">
        <v>161752</v>
      </c>
      <c r="J17" s="18">
        <v>168569</v>
      </c>
      <c r="K17" s="18">
        <v>182795</v>
      </c>
      <c r="L17" s="31" t="s">
        <v>194</v>
      </c>
    </row>
    <row r="18" spans="1:12" x14ac:dyDescent="0.3">
      <c r="A18" s="3" t="s">
        <v>172</v>
      </c>
      <c r="B18" s="18">
        <v>-60007</v>
      </c>
      <c r="C18" s="18">
        <v>-65195</v>
      </c>
      <c r="D18" s="18">
        <v>-13259</v>
      </c>
      <c r="E18" s="18">
        <v>62595</v>
      </c>
      <c r="F18" s="18">
        <v>135570</v>
      </c>
      <c r="G18" s="18">
        <v>92116</v>
      </c>
      <c r="H18" s="30" t="s">
        <v>428</v>
      </c>
      <c r="I18" s="18">
        <v>35159</v>
      </c>
      <c r="J18" s="18">
        <v>44527</v>
      </c>
      <c r="K18" s="18">
        <v>33945</v>
      </c>
      <c r="L18" s="31" t="s">
        <v>194</v>
      </c>
    </row>
    <row r="19" spans="1:12" x14ac:dyDescent="0.3">
      <c r="A19" s="3" t="s">
        <v>174</v>
      </c>
      <c r="B19" s="18">
        <v>318</v>
      </c>
      <c r="C19" s="18">
        <v>131</v>
      </c>
      <c r="D19" s="18">
        <v>590</v>
      </c>
      <c r="E19" s="18">
        <v>1267</v>
      </c>
      <c r="F19" s="18">
        <v>3382</v>
      </c>
      <c r="G19" s="30" t="s">
        <v>428</v>
      </c>
      <c r="H19" s="30" t="s">
        <v>428</v>
      </c>
      <c r="I19" s="30" t="s">
        <v>428</v>
      </c>
      <c r="J19" s="30" t="s">
        <v>428</v>
      </c>
      <c r="K19" s="30" t="s">
        <v>428</v>
      </c>
      <c r="L19" s="31" t="s">
        <v>194</v>
      </c>
    </row>
    <row r="20" spans="1:12" x14ac:dyDescent="0.3">
      <c r="A20" s="3" t="s">
        <v>176</v>
      </c>
      <c r="B20" s="18">
        <v>-288</v>
      </c>
      <c r="C20" s="18">
        <v>-807</v>
      </c>
      <c r="D20" s="18">
        <v>-645</v>
      </c>
      <c r="E20" s="18">
        <v>-4253</v>
      </c>
      <c r="F20" s="18">
        <v>-1773</v>
      </c>
      <c r="G20" s="30" t="s">
        <v>428</v>
      </c>
      <c r="H20" s="30" t="s">
        <v>428</v>
      </c>
      <c r="I20" s="30" t="s">
        <v>428</v>
      </c>
      <c r="J20" s="30" t="s">
        <v>428</v>
      </c>
      <c r="K20" s="30" t="s">
        <v>428</v>
      </c>
      <c r="L20" s="31" t="s">
        <v>194</v>
      </c>
    </row>
    <row r="21" spans="1:12" x14ac:dyDescent="0.3">
      <c r="A21" s="3" t="s">
        <v>178</v>
      </c>
      <c r="B21" s="18">
        <v>30</v>
      </c>
      <c r="C21" s="18">
        <v>-676</v>
      </c>
      <c r="D21" s="18">
        <v>-55</v>
      </c>
      <c r="E21" s="18">
        <v>-2986</v>
      </c>
      <c r="F21" s="18">
        <v>1609</v>
      </c>
      <c r="G21" s="18">
        <v>2158</v>
      </c>
      <c r="H21" s="30" t="s">
        <v>428</v>
      </c>
      <c r="I21" s="18">
        <v>-503</v>
      </c>
      <c r="J21" s="18">
        <v>-786</v>
      </c>
      <c r="K21" s="18">
        <v>-410</v>
      </c>
      <c r="L21" s="31" t="s">
        <v>194</v>
      </c>
    </row>
    <row r="22" spans="1:12" x14ac:dyDescent="0.3">
      <c r="A22" s="3" t="s">
        <v>180</v>
      </c>
      <c r="B22" s="18">
        <v>-59977</v>
      </c>
      <c r="C22" s="18">
        <v>-65871</v>
      </c>
      <c r="D22" s="18">
        <v>-13314</v>
      </c>
      <c r="E22" s="18">
        <v>59609</v>
      </c>
      <c r="F22" s="18">
        <v>137179</v>
      </c>
      <c r="G22" s="18">
        <v>94274</v>
      </c>
      <c r="H22" s="30" t="s">
        <v>428</v>
      </c>
      <c r="I22" s="18">
        <v>34656</v>
      </c>
      <c r="J22" s="18">
        <v>43741</v>
      </c>
      <c r="K22" s="18">
        <v>33535</v>
      </c>
      <c r="L22" s="31" t="s">
        <v>194</v>
      </c>
    </row>
    <row r="23" spans="1:12" x14ac:dyDescent="0.3">
      <c r="A23" s="3" t="s">
        <v>182</v>
      </c>
      <c r="B23" s="18">
        <v>19</v>
      </c>
      <c r="C23" s="18">
        <v>7235</v>
      </c>
      <c r="D23" s="18">
        <v>31091</v>
      </c>
      <c r="E23" s="18">
        <v>42697</v>
      </c>
      <c r="F23" s="18">
        <v>45231</v>
      </c>
      <c r="G23" s="18">
        <v>33635</v>
      </c>
      <c r="H23" s="30" t="s">
        <v>428</v>
      </c>
      <c r="I23" s="18">
        <v>11793</v>
      </c>
      <c r="J23" s="18">
        <v>11811</v>
      </c>
      <c r="K23" s="18">
        <v>11831</v>
      </c>
      <c r="L23" s="31" t="s">
        <v>194</v>
      </c>
    </row>
    <row r="24" spans="1:12" x14ac:dyDescent="0.3">
      <c r="A24" s="3" t="s">
        <v>184</v>
      </c>
      <c r="B24" s="18">
        <v>-59958</v>
      </c>
      <c r="C24" s="18">
        <v>-58636</v>
      </c>
      <c r="D24" s="18">
        <v>17777</v>
      </c>
      <c r="E24" s="18">
        <v>102306</v>
      </c>
      <c r="F24" s="18">
        <v>182410</v>
      </c>
      <c r="G24" s="18">
        <v>127909</v>
      </c>
      <c r="H24" s="30" t="s">
        <v>428</v>
      </c>
      <c r="I24" s="18">
        <v>46449</v>
      </c>
      <c r="J24" s="18">
        <v>55552</v>
      </c>
      <c r="K24" s="18">
        <v>45366</v>
      </c>
      <c r="L24" s="31" t="s">
        <v>194</v>
      </c>
    </row>
    <row r="25" spans="1:12" x14ac:dyDescent="0.3">
      <c r="A25" s="3" t="s">
        <v>186</v>
      </c>
      <c r="B25" s="18">
        <v>177</v>
      </c>
      <c r="C25" s="18">
        <v>938</v>
      </c>
      <c r="D25" s="18">
        <v>1710</v>
      </c>
      <c r="E25" s="18">
        <v>13732</v>
      </c>
      <c r="F25" s="18">
        <v>-231655</v>
      </c>
      <c r="G25" s="18">
        <v>-244202</v>
      </c>
      <c r="H25" s="30" t="s">
        <v>428</v>
      </c>
      <c r="I25" s="18">
        <v>-245746</v>
      </c>
      <c r="J25" s="18">
        <v>12092</v>
      </c>
      <c r="K25" s="18">
        <v>12208</v>
      </c>
      <c r="L25" s="31" t="s">
        <v>194</v>
      </c>
    </row>
    <row r="26" spans="1:12" x14ac:dyDescent="0.3">
      <c r="A26" s="3" t="s">
        <v>188</v>
      </c>
      <c r="B26" s="18">
        <v>-60135</v>
      </c>
      <c r="C26" s="18">
        <v>-59574</v>
      </c>
      <c r="D26" s="18">
        <v>16067</v>
      </c>
      <c r="E26" s="18">
        <v>88574</v>
      </c>
      <c r="F26" s="18">
        <v>414065</v>
      </c>
      <c r="G26" s="18">
        <v>372111</v>
      </c>
      <c r="H26" s="30" t="s">
        <v>428</v>
      </c>
      <c r="I26" s="18">
        <v>292195</v>
      </c>
      <c r="J26" s="18">
        <v>43460</v>
      </c>
      <c r="K26" s="18">
        <v>33158</v>
      </c>
      <c r="L26" s="31" t="s">
        <v>194</v>
      </c>
    </row>
    <row r="27" spans="1:12" x14ac:dyDescent="0.3">
      <c r="A27" s="3" t="s">
        <v>215</v>
      </c>
      <c r="B27" s="18">
        <v>693</v>
      </c>
      <c r="C27" s="18">
        <v>1752</v>
      </c>
      <c r="D27" s="18">
        <v>2995</v>
      </c>
      <c r="E27" s="18">
        <v>5889</v>
      </c>
      <c r="F27" s="18">
        <v>9196</v>
      </c>
      <c r="G27" s="30" t="s">
        <v>428</v>
      </c>
      <c r="H27" s="18">
        <v>5720</v>
      </c>
      <c r="I27" s="30" t="s">
        <v>428</v>
      </c>
      <c r="J27" s="30" t="s">
        <v>428</v>
      </c>
      <c r="K27" s="18">
        <v>2885</v>
      </c>
      <c r="L27" s="31" t="s">
        <v>218</v>
      </c>
    </row>
    <row r="29" spans="1:12" ht="18" customHeight="1" x14ac:dyDescent="0.3">
      <c r="A29" s="29" t="s">
        <v>429</v>
      </c>
    </row>
    <row r="30" spans="1:12" x14ac:dyDescent="0.3">
      <c r="A30" s="3" t="s">
        <v>224</v>
      </c>
      <c r="B30" s="18">
        <v>553922</v>
      </c>
      <c r="C30" s="18">
        <v>608180</v>
      </c>
      <c r="D30" s="18">
        <v>747610</v>
      </c>
      <c r="E30" s="18">
        <v>785791</v>
      </c>
      <c r="F30" s="18">
        <v>1036389</v>
      </c>
      <c r="G30" s="30" t="s">
        <v>428</v>
      </c>
      <c r="H30" s="30" t="s">
        <v>428</v>
      </c>
      <c r="I30" s="30" t="s">
        <v>428</v>
      </c>
      <c r="J30" s="30" t="s">
        <v>428</v>
      </c>
      <c r="K30" s="18">
        <v>1180887</v>
      </c>
      <c r="L30" s="31" t="s">
        <v>225</v>
      </c>
    </row>
    <row r="31" spans="1:12" x14ac:dyDescent="0.3">
      <c r="A31" s="3" t="s">
        <v>227</v>
      </c>
      <c r="B31" s="18">
        <v>33163</v>
      </c>
      <c r="C31" s="18">
        <v>46728</v>
      </c>
      <c r="D31" s="18">
        <v>88975</v>
      </c>
      <c r="E31" s="18">
        <v>128923</v>
      </c>
      <c r="F31" s="18">
        <v>162827</v>
      </c>
      <c r="G31" s="30" t="s">
        <v>428</v>
      </c>
      <c r="H31" s="30" t="s">
        <v>428</v>
      </c>
      <c r="I31" s="30" t="s">
        <v>428</v>
      </c>
      <c r="J31" s="30" t="s">
        <v>428</v>
      </c>
      <c r="K31" s="18">
        <v>130979</v>
      </c>
      <c r="L31" s="31" t="s">
        <v>225</v>
      </c>
    </row>
    <row r="32" spans="1:12" x14ac:dyDescent="0.3">
      <c r="A32" s="3" t="s">
        <v>229</v>
      </c>
      <c r="B32" s="18">
        <v>24219</v>
      </c>
      <c r="C32" s="18">
        <v>35041</v>
      </c>
      <c r="D32" s="18">
        <v>53931</v>
      </c>
      <c r="E32" s="18">
        <v>80162</v>
      </c>
      <c r="F32" s="18">
        <v>102663</v>
      </c>
      <c r="G32" s="30" t="s">
        <v>428</v>
      </c>
      <c r="H32" s="30" t="s">
        <v>428</v>
      </c>
      <c r="I32" s="30" t="s">
        <v>428</v>
      </c>
      <c r="J32" s="30" t="s">
        <v>428</v>
      </c>
      <c r="K32" s="18">
        <v>102689</v>
      </c>
      <c r="L32" s="31" t="s">
        <v>225</v>
      </c>
    </row>
    <row r="33" spans="1:12" x14ac:dyDescent="0.3">
      <c r="A33" s="3" t="s">
        <v>231</v>
      </c>
      <c r="B33" s="18">
        <v>7967</v>
      </c>
      <c r="C33" s="18">
        <v>7234</v>
      </c>
      <c r="D33" s="18">
        <v>7282</v>
      </c>
      <c r="E33" s="18">
        <v>14831</v>
      </c>
      <c r="F33" s="18">
        <v>16582</v>
      </c>
      <c r="G33" s="30" t="s">
        <v>428</v>
      </c>
      <c r="H33" s="30" t="s">
        <v>428</v>
      </c>
      <c r="I33" s="30" t="s">
        <v>428</v>
      </c>
      <c r="J33" s="30" t="s">
        <v>428</v>
      </c>
      <c r="K33" s="18">
        <v>20873</v>
      </c>
      <c r="L33" s="31" t="s">
        <v>225</v>
      </c>
    </row>
    <row r="34" spans="1:12" x14ac:dyDescent="0.3">
      <c r="A34" s="3" t="s">
        <v>233</v>
      </c>
      <c r="B34" s="18">
        <v>619271</v>
      </c>
      <c r="C34" s="18">
        <v>697183</v>
      </c>
      <c r="D34" s="18">
        <v>897798</v>
      </c>
      <c r="E34" s="18">
        <v>1101588</v>
      </c>
      <c r="F34" s="18">
        <v>1436606</v>
      </c>
      <c r="G34" s="30" t="s">
        <v>428</v>
      </c>
      <c r="H34" s="30" t="s">
        <v>428</v>
      </c>
      <c r="I34" s="30" t="s">
        <v>428</v>
      </c>
      <c r="J34" s="30" t="s">
        <v>428</v>
      </c>
      <c r="K34" s="18">
        <v>1571114</v>
      </c>
      <c r="L34" s="31" t="s">
        <v>225</v>
      </c>
    </row>
    <row r="35" spans="1:12" x14ac:dyDescent="0.3">
      <c r="A35" s="3" t="s">
        <v>235</v>
      </c>
      <c r="B35" s="18">
        <v>28369</v>
      </c>
      <c r="C35" s="18">
        <v>22508</v>
      </c>
      <c r="D35" s="18">
        <v>19103</v>
      </c>
      <c r="E35" s="18">
        <v>47495</v>
      </c>
      <c r="F35" s="18">
        <v>80380</v>
      </c>
      <c r="G35" s="30" t="s">
        <v>428</v>
      </c>
      <c r="H35" s="30" t="s">
        <v>428</v>
      </c>
      <c r="I35" s="30" t="s">
        <v>428</v>
      </c>
      <c r="J35" s="30" t="s">
        <v>428</v>
      </c>
      <c r="K35" s="18">
        <v>74830</v>
      </c>
      <c r="L35" s="31" t="s">
        <v>225</v>
      </c>
    </row>
    <row r="36" spans="1:12" x14ac:dyDescent="0.3">
      <c r="A36" s="3" t="s">
        <v>237</v>
      </c>
      <c r="B36" s="18">
        <v>8211</v>
      </c>
      <c r="C36" s="18">
        <v>12969</v>
      </c>
      <c r="D36" s="18">
        <v>11792</v>
      </c>
      <c r="E36" s="18">
        <v>18943</v>
      </c>
      <c r="F36" s="18">
        <v>36297</v>
      </c>
      <c r="G36" s="30" t="s">
        <v>428</v>
      </c>
      <c r="H36" s="30" t="s">
        <v>428</v>
      </c>
      <c r="I36" s="30" t="s">
        <v>428</v>
      </c>
      <c r="J36" s="30" t="s">
        <v>428</v>
      </c>
      <c r="K36" s="18">
        <v>42619</v>
      </c>
      <c r="L36" s="31" t="s">
        <v>225</v>
      </c>
    </row>
    <row r="37" spans="1:12" x14ac:dyDescent="0.3">
      <c r="A37" s="3" t="s">
        <v>238</v>
      </c>
      <c r="B37" s="18">
        <v>4566</v>
      </c>
      <c r="C37" s="30" t="s">
        <v>428</v>
      </c>
      <c r="D37" s="30" t="s">
        <v>428</v>
      </c>
      <c r="E37" s="30" t="s">
        <v>428</v>
      </c>
      <c r="F37" s="30" t="s">
        <v>428</v>
      </c>
      <c r="G37" s="30" t="s">
        <v>428</v>
      </c>
      <c r="H37" s="30" t="s">
        <v>428</v>
      </c>
      <c r="I37" s="30" t="s">
        <v>428</v>
      </c>
      <c r="J37" s="30" t="s">
        <v>428</v>
      </c>
      <c r="K37" s="30" t="s">
        <v>428</v>
      </c>
      <c r="L37" s="31" t="s">
        <v>4</v>
      </c>
    </row>
    <row r="38" spans="1:12" x14ac:dyDescent="0.3">
      <c r="A38" s="3" t="s">
        <v>241</v>
      </c>
      <c r="B38" s="18">
        <v>894</v>
      </c>
      <c r="C38" s="18">
        <v>1507</v>
      </c>
      <c r="D38" s="18">
        <v>1718</v>
      </c>
      <c r="E38" s="18">
        <v>1563</v>
      </c>
      <c r="F38" s="18">
        <v>10083</v>
      </c>
      <c r="G38" s="30" t="s">
        <v>428</v>
      </c>
      <c r="H38" s="30" t="s">
        <v>428</v>
      </c>
      <c r="I38" s="30" t="s">
        <v>428</v>
      </c>
      <c r="J38" s="30" t="s">
        <v>428</v>
      </c>
      <c r="K38" s="18">
        <v>10990</v>
      </c>
      <c r="L38" s="31" t="s">
        <v>225</v>
      </c>
    </row>
    <row r="39" spans="1:12" x14ac:dyDescent="0.3">
      <c r="A39" s="3" t="s">
        <v>243</v>
      </c>
      <c r="B39" s="18">
        <v>661311</v>
      </c>
      <c r="C39" s="18">
        <v>747347</v>
      </c>
      <c r="D39" s="18">
        <v>953957</v>
      </c>
      <c r="E39" s="18">
        <v>1301728</v>
      </c>
      <c r="F39" s="18">
        <v>1992182</v>
      </c>
      <c r="G39" s="30" t="s">
        <v>428</v>
      </c>
      <c r="H39" s="30" t="s">
        <v>428</v>
      </c>
      <c r="I39" s="30" t="s">
        <v>428</v>
      </c>
      <c r="J39" s="30" t="s">
        <v>428</v>
      </c>
      <c r="K39" s="18">
        <v>2073953</v>
      </c>
      <c r="L39" s="31" t="s">
        <v>225</v>
      </c>
    </row>
    <row r="40" spans="1:12" x14ac:dyDescent="0.3">
      <c r="A40" s="3" t="s">
        <v>245</v>
      </c>
      <c r="B40" s="18">
        <v>98267</v>
      </c>
      <c r="C40" s="18">
        <v>157550</v>
      </c>
      <c r="D40" s="18">
        <v>249192</v>
      </c>
      <c r="E40" s="18">
        <v>372884</v>
      </c>
      <c r="F40" s="18">
        <v>496205</v>
      </c>
      <c r="G40" s="30" t="s">
        <v>428</v>
      </c>
      <c r="H40" s="30" t="s">
        <v>428</v>
      </c>
      <c r="I40" s="30" t="s">
        <v>428</v>
      </c>
      <c r="J40" s="30" t="s">
        <v>428</v>
      </c>
      <c r="K40" s="18">
        <v>505102</v>
      </c>
      <c r="L40" s="31" t="s">
        <v>225</v>
      </c>
    </row>
    <row r="41" spans="1:12" x14ac:dyDescent="0.3">
      <c r="A41" s="3" t="s">
        <v>247</v>
      </c>
      <c r="B41" s="18">
        <v>7818</v>
      </c>
      <c r="C41" s="18">
        <v>1177</v>
      </c>
      <c r="D41" s="18">
        <v>2447</v>
      </c>
      <c r="E41" s="18">
        <v>6381</v>
      </c>
      <c r="F41" s="18">
        <v>7998</v>
      </c>
      <c r="G41" s="30" t="s">
        <v>428</v>
      </c>
      <c r="H41" s="30" t="s">
        <v>428</v>
      </c>
      <c r="I41" s="30" t="s">
        <v>428</v>
      </c>
      <c r="J41" s="30" t="s">
        <v>428</v>
      </c>
      <c r="K41" s="18">
        <v>16196</v>
      </c>
      <c r="L41" s="31" t="s">
        <v>225</v>
      </c>
    </row>
    <row r="42" spans="1:12" x14ac:dyDescent="0.3">
      <c r="A42" s="3" t="s">
        <v>249</v>
      </c>
      <c r="B42" s="18">
        <v>113</v>
      </c>
      <c r="C42" s="18">
        <v>1069</v>
      </c>
      <c r="D42" s="18">
        <v>792</v>
      </c>
      <c r="E42" s="18">
        <v>6591</v>
      </c>
      <c r="F42" s="18">
        <v>1257</v>
      </c>
      <c r="G42" s="30" t="s">
        <v>428</v>
      </c>
      <c r="H42" s="30" t="s">
        <v>428</v>
      </c>
      <c r="I42" s="30" t="s">
        <v>428</v>
      </c>
      <c r="J42" s="30" t="s">
        <v>428</v>
      </c>
      <c r="K42" s="18">
        <v>1106</v>
      </c>
      <c r="L42" s="31" t="s">
        <v>225</v>
      </c>
    </row>
    <row r="43" spans="1:12" x14ac:dyDescent="0.3">
      <c r="A43" s="3" t="s">
        <v>251</v>
      </c>
      <c r="B43" s="18">
        <v>12933</v>
      </c>
      <c r="C43" s="18">
        <v>21970</v>
      </c>
      <c r="D43" s="18">
        <v>24931</v>
      </c>
      <c r="E43" s="18">
        <v>36375</v>
      </c>
      <c r="F43" s="18">
        <v>45688</v>
      </c>
      <c r="G43" s="30" t="s">
        <v>428</v>
      </c>
      <c r="H43" s="30" t="s">
        <v>428</v>
      </c>
      <c r="I43" s="30" t="s">
        <v>428</v>
      </c>
      <c r="J43" s="30" t="s">
        <v>428</v>
      </c>
      <c r="K43" s="18">
        <v>55429</v>
      </c>
      <c r="L43" s="31" t="s">
        <v>225</v>
      </c>
    </row>
    <row r="44" spans="1:12" x14ac:dyDescent="0.3">
      <c r="A44" s="3" t="s">
        <v>253</v>
      </c>
      <c r="B44" s="18">
        <v>119131</v>
      </c>
      <c r="C44" s="18">
        <v>181766</v>
      </c>
      <c r="D44" s="18">
        <v>277362</v>
      </c>
      <c r="E44" s="18">
        <v>422231</v>
      </c>
      <c r="F44" s="18">
        <v>551148</v>
      </c>
      <c r="G44" s="30" t="s">
        <v>428</v>
      </c>
      <c r="H44" s="30" t="s">
        <v>428</v>
      </c>
      <c r="I44" s="30" t="s">
        <v>428</v>
      </c>
      <c r="J44" s="30" t="s">
        <v>428</v>
      </c>
      <c r="K44" s="18">
        <v>577833</v>
      </c>
      <c r="L44" s="31" t="s">
        <v>225</v>
      </c>
    </row>
    <row r="45" spans="1:12" x14ac:dyDescent="0.3">
      <c r="A45" s="3" t="s">
        <v>255</v>
      </c>
      <c r="B45" s="18">
        <v>29124</v>
      </c>
      <c r="C45" s="18">
        <v>23503</v>
      </c>
      <c r="D45" s="18">
        <v>21094</v>
      </c>
      <c r="E45" s="18">
        <v>54656</v>
      </c>
      <c r="F45" s="18">
        <v>93779</v>
      </c>
      <c r="G45" s="30" t="s">
        <v>428</v>
      </c>
      <c r="H45" s="30" t="s">
        <v>428</v>
      </c>
      <c r="I45" s="30" t="s">
        <v>428</v>
      </c>
      <c r="J45" s="30" t="s">
        <v>428</v>
      </c>
      <c r="K45" s="18">
        <v>86136</v>
      </c>
      <c r="L45" s="31" t="s">
        <v>225</v>
      </c>
    </row>
    <row r="46" spans="1:12" x14ac:dyDescent="0.3">
      <c r="A46" s="3" t="s">
        <v>257</v>
      </c>
      <c r="B46" s="18">
        <v>148255</v>
      </c>
      <c r="C46" s="18">
        <v>205269</v>
      </c>
      <c r="D46" s="18">
        <v>298456</v>
      </c>
      <c r="E46" s="18">
        <v>477178</v>
      </c>
      <c r="F46" s="18">
        <v>645176</v>
      </c>
      <c r="G46" s="30" t="s">
        <v>428</v>
      </c>
      <c r="H46" s="30" t="s">
        <v>428</v>
      </c>
      <c r="I46" s="30" t="s">
        <v>428</v>
      </c>
      <c r="J46" s="30" t="s">
        <v>428</v>
      </c>
      <c r="K46" s="18">
        <v>664211</v>
      </c>
      <c r="L46" s="31" t="s">
        <v>225</v>
      </c>
    </row>
    <row r="47" spans="1:12" x14ac:dyDescent="0.3">
      <c r="A47" s="3" t="s">
        <v>259</v>
      </c>
      <c r="B47" s="18">
        <v>4</v>
      </c>
      <c r="C47" s="18">
        <v>4</v>
      </c>
      <c r="D47" s="18">
        <v>4</v>
      </c>
      <c r="E47" s="18">
        <v>4</v>
      </c>
      <c r="F47" s="18">
        <v>5</v>
      </c>
      <c r="G47" s="30" t="s">
        <v>428</v>
      </c>
      <c r="H47" s="30" t="s">
        <v>428</v>
      </c>
      <c r="I47" s="30" t="s">
        <v>428</v>
      </c>
      <c r="J47" s="30" t="s">
        <v>428</v>
      </c>
      <c r="K47" s="18">
        <v>5</v>
      </c>
      <c r="L47" s="31" t="s">
        <v>225</v>
      </c>
    </row>
    <row r="48" spans="1:12" x14ac:dyDescent="0.3">
      <c r="A48" s="3" t="s">
        <v>261</v>
      </c>
      <c r="B48" s="18">
        <v>683966</v>
      </c>
      <c r="C48" s="18">
        <v>772562</v>
      </c>
      <c r="D48" s="18">
        <v>869918</v>
      </c>
      <c r="E48" s="18">
        <v>950393</v>
      </c>
      <c r="F48" s="18">
        <v>1058783</v>
      </c>
      <c r="G48" s="30" t="s">
        <v>428</v>
      </c>
      <c r="H48" s="30" t="s">
        <v>428</v>
      </c>
      <c r="I48" s="30" t="s">
        <v>428</v>
      </c>
      <c r="J48" s="30" t="s">
        <v>428</v>
      </c>
      <c r="K48" s="18">
        <v>1046326</v>
      </c>
      <c r="L48" s="31" t="s">
        <v>225</v>
      </c>
    </row>
    <row r="49" spans="1:12" x14ac:dyDescent="0.3">
      <c r="A49" s="3" t="s">
        <v>263</v>
      </c>
      <c r="B49" s="18">
        <v>-170914</v>
      </c>
      <c r="C49" s="18">
        <v>-230488</v>
      </c>
      <c r="D49" s="18">
        <v>-214421</v>
      </c>
      <c r="E49" s="18">
        <v>-125847</v>
      </c>
      <c r="F49" s="18">
        <v>288218</v>
      </c>
      <c r="G49" s="30" t="s">
        <v>428</v>
      </c>
      <c r="H49" s="30" t="s">
        <v>428</v>
      </c>
      <c r="I49" s="30" t="s">
        <v>428</v>
      </c>
      <c r="J49" s="30" t="s">
        <v>428</v>
      </c>
      <c r="K49" s="18">
        <v>364836</v>
      </c>
      <c r="L49" s="31" t="s">
        <v>225</v>
      </c>
    </row>
    <row r="50" spans="1:12" x14ac:dyDescent="0.3">
      <c r="A50" s="3" t="s">
        <v>265</v>
      </c>
      <c r="B50" s="18">
        <v>513056</v>
      </c>
      <c r="C50" s="18">
        <v>542078</v>
      </c>
      <c r="D50" s="18">
        <v>655501</v>
      </c>
      <c r="E50" s="18">
        <v>824550</v>
      </c>
      <c r="F50" s="18">
        <v>1347006</v>
      </c>
      <c r="G50" s="30" t="s">
        <v>428</v>
      </c>
      <c r="H50" s="30" t="s">
        <v>428</v>
      </c>
      <c r="I50" s="30" t="s">
        <v>428</v>
      </c>
      <c r="J50" s="30" t="s">
        <v>428</v>
      </c>
      <c r="K50" s="18">
        <v>1409742</v>
      </c>
      <c r="L50" s="31" t="s">
        <v>225</v>
      </c>
    </row>
    <row r="51" spans="1:12" x14ac:dyDescent="0.3">
      <c r="A51" s="3" t="s">
        <v>267</v>
      </c>
      <c r="B51" s="18">
        <v>661311</v>
      </c>
      <c r="C51" s="18">
        <v>747347</v>
      </c>
      <c r="D51" s="18">
        <v>953957</v>
      </c>
      <c r="E51" s="18">
        <v>1301728</v>
      </c>
      <c r="F51" s="18">
        <v>1992182</v>
      </c>
      <c r="G51" s="30" t="s">
        <v>428</v>
      </c>
      <c r="H51" s="30" t="s">
        <v>428</v>
      </c>
      <c r="I51" s="30" t="s">
        <v>428</v>
      </c>
      <c r="J51" s="30" t="s">
        <v>428</v>
      </c>
      <c r="K51" s="18">
        <v>2073953</v>
      </c>
      <c r="L51" s="31" t="s">
        <v>225</v>
      </c>
    </row>
    <row r="52" spans="1:12" x14ac:dyDescent="0.3">
      <c r="A52" s="3" t="s">
        <v>269</v>
      </c>
      <c r="B52" s="30" t="s">
        <v>428</v>
      </c>
      <c r="C52" s="18">
        <v>8497</v>
      </c>
      <c r="D52" s="18">
        <v>15995</v>
      </c>
      <c r="E52" s="18">
        <v>19899</v>
      </c>
      <c r="F52" s="18">
        <v>28309</v>
      </c>
      <c r="G52" s="30" t="s">
        <v>428</v>
      </c>
      <c r="H52" s="30" t="s">
        <v>428</v>
      </c>
      <c r="I52" s="30" t="s">
        <v>428</v>
      </c>
      <c r="J52" s="30" t="s">
        <v>428</v>
      </c>
      <c r="K52" s="18">
        <v>27598</v>
      </c>
      <c r="L52" s="31" t="s">
        <v>225</v>
      </c>
    </row>
    <row r="53" spans="1:12" x14ac:dyDescent="0.3">
      <c r="A53" s="3" t="s">
        <v>271</v>
      </c>
      <c r="B53" s="30" t="s">
        <v>428</v>
      </c>
      <c r="C53" s="18">
        <v>4050</v>
      </c>
      <c r="D53" s="18">
        <v>4050</v>
      </c>
      <c r="E53" s="18">
        <v>10538</v>
      </c>
      <c r="F53" s="18">
        <v>35335</v>
      </c>
      <c r="G53" s="30" t="s">
        <v>428</v>
      </c>
      <c r="H53" s="30" t="s">
        <v>428</v>
      </c>
      <c r="I53" s="30" t="s">
        <v>428</v>
      </c>
      <c r="J53" s="30" t="s">
        <v>428</v>
      </c>
      <c r="K53" s="18">
        <v>35335</v>
      </c>
      <c r="L53" s="31" t="s">
        <v>225</v>
      </c>
    </row>
    <row r="54" spans="1:12" x14ac:dyDescent="0.3">
      <c r="A54" s="3" t="s">
        <v>273</v>
      </c>
      <c r="B54" s="30" t="s">
        <v>428</v>
      </c>
      <c r="C54" s="18">
        <v>633</v>
      </c>
      <c r="D54" s="18">
        <v>766</v>
      </c>
      <c r="E54" s="18">
        <v>675</v>
      </c>
      <c r="F54" s="18">
        <v>227339</v>
      </c>
      <c r="G54" s="30" t="s">
        <v>428</v>
      </c>
      <c r="H54" s="30" t="s">
        <v>428</v>
      </c>
      <c r="I54" s="30" t="s">
        <v>428</v>
      </c>
      <c r="J54" s="30" t="s">
        <v>428</v>
      </c>
      <c r="K54" s="18">
        <v>206039</v>
      </c>
      <c r="L54" s="31" t="s">
        <v>225</v>
      </c>
    </row>
    <row r="55" spans="1:12" x14ac:dyDescent="0.3">
      <c r="A55" s="3" t="s">
        <v>275</v>
      </c>
      <c r="B55" s="30" t="s">
        <v>428</v>
      </c>
      <c r="C55" s="30" t="s">
        <v>428</v>
      </c>
      <c r="D55" s="18">
        <v>2735</v>
      </c>
      <c r="E55" s="18">
        <v>2735</v>
      </c>
      <c r="F55" s="18">
        <v>2735</v>
      </c>
      <c r="G55" s="30" t="s">
        <v>428</v>
      </c>
      <c r="H55" s="30" t="s">
        <v>428</v>
      </c>
      <c r="I55" s="30" t="s">
        <v>428</v>
      </c>
      <c r="J55" s="30" t="s">
        <v>428</v>
      </c>
      <c r="K55" s="18">
        <v>2735</v>
      </c>
      <c r="L55" s="31" t="s">
        <v>225</v>
      </c>
    </row>
    <row r="56" spans="1:12" x14ac:dyDescent="0.3">
      <c r="A56" s="3" t="s">
        <v>277</v>
      </c>
      <c r="B56" s="30" t="s">
        <v>428</v>
      </c>
      <c r="C56" s="30" t="s">
        <v>428</v>
      </c>
      <c r="D56" s="30" t="s">
        <v>428</v>
      </c>
      <c r="E56" s="18">
        <v>91854</v>
      </c>
      <c r="F56" s="18">
        <v>104078</v>
      </c>
      <c r="G56" s="30" t="s">
        <v>428</v>
      </c>
      <c r="H56" s="30" t="s">
        <v>428</v>
      </c>
      <c r="I56" s="30" t="s">
        <v>428</v>
      </c>
      <c r="J56" s="30" t="s">
        <v>428</v>
      </c>
      <c r="K56" s="18">
        <v>132979</v>
      </c>
      <c r="L56" s="31" t="s">
        <v>225</v>
      </c>
    </row>
    <row r="57" spans="1:12" x14ac:dyDescent="0.3">
      <c r="A57" s="3" t="s">
        <v>279</v>
      </c>
      <c r="B57" s="30" t="s">
        <v>428</v>
      </c>
      <c r="C57" s="30" t="s">
        <v>428</v>
      </c>
      <c r="D57" s="30" t="s">
        <v>428</v>
      </c>
      <c r="E57" s="18">
        <v>27</v>
      </c>
      <c r="F57" s="18">
        <v>14067</v>
      </c>
      <c r="G57" s="30" t="s">
        <v>428</v>
      </c>
      <c r="H57" s="30" t="s">
        <v>428</v>
      </c>
      <c r="I57" s="30" t="s">
        <v>428</v>
      </c>
      <c r="J57" s="30" t="s">
        <v>428</v>
      </c>
      <c r="K57" s="18">
        <v>2707</v>
      </c>
      <c r="L57" s="31" t="s">
        <v>225</v>
      </c>
    </row>
    <row r="58" spans="1:12" x14ac:dyDescent="0.3">
      <c r="A58" s="3" t="s">
        <v>281</v>
      </c>
      <c r="B58" s="30" t="s">
        <v>428</v>
      </c>
      <c r="C58" s="30" t="s">
        <v>428</v>
      </c>
      <c r="D58" s="30" t="s">
        <v>428</v>
      </c>
      <c r="E58" s="18">
        <v>98292</v>
      </c>
      <c r="F58" s="18">
        <v>135098</v>
      </c>
      <c r="G58" s="30" t="s">
        <v>428</v>
      </c>
      <c r="H58" s="30" t="s">
        <v>428</v>
      </c>
      <c r="I58" s="30" t="s">
        <v>428</v>
      </c>
      <c r="J58" s="30" t="s">
        <v>428</v>
      </c>
      <c r="K58" s="18">
        <v>102693</v>
      </c>
      <c r="L58" s="31" t="s">
        <v>225</v>
      </c>
    </row>
    <row r="59" spans="1:12" x14ac:dyDescent="0.3">
      <c r="A59" s="3" t="s">
        <v>283</v>
      </c>
      <c r="B59" s="30" t="s">
        <v>428</v>
      </c>
      <c r="C59" s="30" t="s">
        <v>428</v>
      </c>
      <c r="D59" s="30" t="s">
        <v>428</v>
      </c>
      <c r="E59" s="18">
        <v>291</v>
      </c>
      <c r="F59" s="18">
        <v>249</v>
      </c>
      <c r="G59" s="30" t="s">
        <v>428</v>
      </c>
      <c r="H59" s="30" t="s">
        <v>428</v>
      </c>
      <c r="I59" s="30" t="s">
        <v>428</v>
      </c>
      <c r="J59" s="30" t="s">
        <v>428</v>
      </c>
      <c r="K59" s="18">
        <v>242</v>
      </c>
      <c r="L59" s="31" t="s">
        <v>225</v>
      </c>
    </row>
    <row r="60" spans="1:12" x14ac:dyDescent="0.3">
      <c r="A60" s="3" t="s">
        <v>286</v>
      </c>
      <c r="B60" s="30" t="s">
        <v>428</v>
      </c>
      <c r="C60" s="30" t="s">
        <v>428</v>
      </c>
      <c r="D60" s="30" t="s">
        <v>428</v>
      </c>
      <c r="E60" s="30" t="s">
        <v>428</v>
      </c>
      <c r="F60" s="30" t="s">
        <v>428</v>
      </c>
      <c r="G60" s="30" t="s">
        <v>428</v>
      </c>
      <c r="H60" s="30" t="s">
        <v>428</v>
      </c>
      <c r="I60" s="30" t="s">
        <v>428</v>
      </c>
      <c r="J60" s="30" t="s">
        <v>428</v>
      </c>
      <c r="K60" s="18">
        <v>-1425</v>
      </c>
      <c r="L60" s="31" t="s">
        <v>4</v>
      </c>
    </row>
    <row r="61" spans="1:12" x14ac:dyDescent="0.3">
      <c r="A61" s="3" t="s">
        <v>289</v>
      </c>
      <c r="B61" s="18">
        <v>10258</v>
      </c>
      <c r="C61" s="18">
        <v>15983</v>
      </c>
      <c r="D61" s="18">
        <v>18191</v>
      </c>
      <c r="E61" s="18">
        <v>26938</v>
      </c>
      <c r="F61" s="18">
        <v>44773</v>
      </c>
      <c r="G61" s="30" t="s">
        <v>428</v>
      </c>
      <c r="H61" s="30" t="s">
        <v>428</v>
      </c>
      <c r="I61" s="30" t="s">
        <v>428</v>
      </c>
      <c r="J61" s="30" t="s">
        <v>428</v>
      </c>
      <c r="K61" s="18">
        <v>52732</v>
      </c>
      <c r="L61" s="31" t="s">
        <v>290</v>
      </c>
    </row>
    <row r="62" spans="1:12" x14ac:dyDescent="0.3">
      <c r="A62" s="3" t="s">
        <v>292</v>
      </c>
      <c r="B62" s="18">
        <v>3053</v>
      </c>
      <c r="C62" s="18">
        <v>5204</v>
      </c>
      <c r="D62" s="18">
        <v>5869</v>
      </c>
      <c r="E62" s="18">
        <v>8415</v>
      </c>
      <c r="F62" s="18">
        <v>13095</v>
      </c>
      <c r="G62" s="30" t="s">
        <v>428</v>
      </c>
      <c r="H62" s="30" t="s">
        <v>428</v>
      </c>
      <c r="I62" s="30" t="s">
        <v>428</v>
      </c>
      <c r="J62" s="30" t="s">
        <v>428</v>
      </c>
      <c r="K62" s="18">
        <v>14136</v>
      </c>
      <c r="L62" s="31" t="s">
        <v>290</v>
      </c>
    </row>
    <row r="63" spans="1:12" x14ac:dyDescent="0.3">
      <c r="A63" s="3" t="s">
        <v>294</v>
      </c>
      <c r="B63" s="18">
        <v>13311</v>
      </c>
      <c r="C63" s="18">
        <v>21187</v>
      </c>
      <c r="D63" s="18">
        <v>24060</v>
      </c>
      <c r="E63" s="18">
        <v>35353</v>
      </c>
      <c r="F63" s="18">
        <v>57868</v>
      </c>
      <c r="G63" s="30" t="s">
        <v>428</v>
      </c>
      <c r="H63" s="30" t="s">
        <v>428</v>
      </c>
      <c r="I63" s="30" t="s">
        <v>428</v>
      </c>
      <c r="J63" s="30" t="s">
        <v>428</v>
      </c>
      <c r="K63" s="18">
        <v>66868</v>
      </c>
      <c r="L63" s="31" t="s">
        <v>290</v>
      </c>
    </row>
    <row r="64" spans="1:12" x14ac:dyDescent="0.3">
      <c r="A64" s="3" t="s">
        <v>296</v>
      </c>
      <c r="B64" s="18">
        <v>-5100</v>
      </c>
      <c r="C64" s="18">
        <v>-8218</v>
      </c>
      <c r="D64" s="18">
        <v>-12268</v>
      </c>
      <c r="E64" s="18">
        <v>-16410</v>
      </c>
      <c r="F64" s="18">
        <v>-21571</v>
      </c>
      <c r="G64" s="30" t="s">
        <v>428</v>
      </c>
      <c r="H64" s="30" t="s">
        <v>428</v>
      </c>
      <c r="I64" s="30" t="s">
        <v>428</v>
      </c>
      <c r="J64" s="30" t="s">
        <v>428</v>
      </c>
      <c r="K64" s="18">
        <v>-24249</v>
      </c>
      <c r="L64" s="31" t="s">
        <v>290</v>
      </c>
    </row>
    <row r="65" spans="1:12" x14ac:dyDescent="0.3">
      <c r="A65" s="3" t="s">
        <v>298</v>
      </c>
      <c r="B65" s="18">
        <v>11144</v>
      </c>
      <c r="C65" s="18">
        <v>16809</v>
      </c>
      <c r="D65" s="18">
        <v>26895</v>
      </c>
      <c r="E65" s="18">
        <v>35681</v>
      </c>
      <c r="F65" s="18">
        <v>44849</v>
      </c>
      <c r="G65" s="30" t="s">
        <v>428</v>
      </c>
      <c r="H65" s="30" t="s">
        <v>428</v>
      </c>
      <c r="I65" s="30" t="s">
        <v>428</v>
      </c>
      <c r="J65" s="30" t="s">
        <v>428</v>
      </c>
      <c r="K65" s="18">
        <v>49858</v>
      </c>
      <c r="L65" s="31" t="s">
        <v>218</v>
      </c>
    </row>
    <row r="66" spans="1:12" x14ac:dyDescent="0.3">
      <c r="A66" s="3" t="s">
        <v>305</v>
      </c>
      <c r="B66" s="18">
        <v>11144</v>
      </c>
      <c r="C66" s="18">
        <v>16827</v>
      </c>
      <c r="D66" s="18">
        <v>27012</v>
      </c>
      <c r="E66" s="18">
        <v>36805</v>
      </c>
      <c r="F66" s="18">
        <v>54411</v>
      </c>
      <c r="G66" s="30" t="s">
        <v>428</v>
      </c>
      <c r="H66" s="30" t="s">
        <v>428</v>
      </c>
      <c r="I66" s="30" t="s">
        <v>428</v>
      </c>
      <c r="J66" s="30" t="s">
        <v>428</v>
      </c>
      <c r="K66" s="18">
        <v>59420</v>
      </c>
      <c r="L66" s="31" t="s">
        <v>218</v>
      </c>
    </row>
    <row r="67" spans="1:12" x14ac:dyDescent="0.3">
      <c r="A67" s="3" t="s">
        <v>302</v>
      </c>
      <c r="B67" s="18">
        <v>-6578</v>
      </c>
      <c r="C67" s="18">
        <v>-8330</v>
      </c>
      <c r="D67" s="18">
        <v>-11017</v>
      </c>
      <c r="E67" s="18">
        <v>-16906</v>
      </c>
      <c r="F67" s="18">
        <v>-26102</v>
      </c>
      <c r="G67" s="30" t="s">
        <v>428</v>
      </c>
      <c r="H67" s="30" t="s">
        <v>428</v>
      </c>
      <c r="I67" s="30" t="s">
        <v>428</v>
      </c>
      <c r="J67" s="30" t="s">
        <v>428</v>
      </c>
      <c r="K67" s="18">
        <v>-31822</v>
      </c>
      <c r="L67" s="31" t="s">
        <v>218</v>
      </c>
    </row>
    <row r="68" spans="1:12" x14ac:dyDescent="0.3">
      <c r="A68" s="3" t="s">
        <v>304</v>
      </c>
      <c r="B68" s="30" t="s">
        <v>428</v>
      </c>
      <c r="C68" s="18">
        <v>18</v>
      </c>
      <c r="D68" s="18">
        <v>117</v>
      </c>
      <c r="E68" s="30" t="s">
        <v>428</v>
      </c>
      <c r="F68" s="30" t="s">
        <v>428</v>
      </c>
      <c r="G68" s="30" t="s">
        <v>428</v>
      </c>
      <c r="H68" s="30" t="s">
        <v>428</v>
      </c>
      <c r="I68" s="30" t="s">
        <v>428</v>
      </c>
      <c r="J68" s="30" t="s">
        <v>428</v>
      </c>
      <c r="K68" s="30" t="s">
        <v>428</v>
      </c>
      <c r="L68" s="31" t="s">
        <v>218</v>
      </c>
    </row>
    <row r="69" spans="1:12" x14ac:dyDescent="0.3">
      <c r="A69" s="3" t="s">
        <v>307</v>
      </c>
      <c r="B69" s="30" t="s">
        <v>428</v>
      </c>
      <c r="C69" s="30" t="s">
        <v>428</v>
      </c>
      <c r="D69" s="30" t="s">
        <v>428</v>
      </c>
      <c r="E69" s="18">
        <v>1007</v>
      </c>
      <c r="F69" s="18">
        <v>9310</v>
      </c>
      <c r="G69" s="30" t="s">
        <v>428</v>
      </c>
      <c r="H69" s="30" t="s">
        <v>428</v>
      </c>
      <c r="I69" s="30" t="s">
        <v>428</v>
      </c>
      <c r="J69" s="30" t="s">
        <v>428</v>
      </c>
      <c r="K69" s="18">
        <v>9310</v>
      </c>
      <c r="L69" s="31" t="s">
        <v>218</v>
      </c>
    </row>
    <row r="70" spans="1:12" x14ac:dyDescent="0.3">
      <c r="A70" s="3" t="s">
        <v>309</v>
      </c>
      <c r="B70" s="30" t="s">
        <v>428</v>
      </c>
      <c r="C70" s="30" t="s">
        <v>428</v>
      </c>
      <c r="D70" s="30" t="s">
        <v>428</v>
      </c>
      <c r="E70" s="18">
        <v>117</v>
      </c>
      <c r="F70" s="18">
        <v>252</v>
      </c>
      <c r="G70" s="30" t="s">
        <v>428</v>
      </c>
      <c r="H70" s="30" t="s">
        <v>428</v>
      </c>
      <c r="I70" s="30" t="s">
        <v>428</v>
      </c>
      <c r="J70" s="30" t="s">
        <v>428</v>
      </c>
      <c r="K70" s="18">
        <v>252</v>
      </c>
      <c r="L70" s="31" t="s">
        <v>218</v>
      </c>
    </row>
    <row r="72" spans="1:12" ht="18" customHeight="1" x14ac:dyDescent="0.3">
      <c r="A72" s="29" t="s">
        <v>430</v>
      </c>
    </row>
    <row r="73" spans="1:12" x14ac:dyDescent="0.3">
      <c r="A73" s="3" t="s">
        <v>313</v>
      </c>
      <c r="B73" s="18">
        <v>-60135</v>
      </c>
      <c r="C73" s="18">
        <v>-59574</v>
      </c>
      <c r="D73" s="18">
        <v>16067</v>
      </c>
      <c r="E73" s="18">
        <v>88574</v>
      </c>
      <c r="F73" s="18">
        <v>414065</v>
      </c>
      <c r="G73" s="18">
        <v>372111</v>
      </c>
      <c r="H73" s="18">
        <v>76618</v>
      </c>
      <c r="I73" s="30" t="s">
        <v>428</v>
      </c>
      <c r="J73" s="30" t="s">
        <v>428</v>
      </c>
      <c r="K73" s="30" t="s">
        <v>428</v>
      </c>
      <c r="L73" s="31" t="s">
        <v>314</v>
      </c>
    </row>
    <row r="74" spans="1:12" x14ac:dyDescent="0.3">
      <c r="A74" s="3" t="s">
        <v>316</v>
      </c>
      <c r="B74" s="30" t="s">
        <v>428</v>
      </c>
      <c r="C74" s="30" t="s">
        <v>428</v>
      </c>
      <c r="D74" s="30" t="s">
        <v>428</v>
      </c>
      <c r="E74" s="30" t="s">
        <v>428</v>
      </c>
      <c r="F74" s="18">
        <v>-225185</v>
      </c>
      <c r="G74" s="18">
        <v>-239486</v>
      </c>
      <c r="H74" s="18">
        <v>21293</v>
      </c>
      <c r="I74" s="30" t="s">
        <v>428</v>
      </c>
      <c r="J74" s="30" t="s">
        <v>428</v>
      </c>
      <c r="K74" s="30" t="s">
        <v>428</v>
      </c>
      <c r="L74" s="31" t="s">
        <v>314</v>
      </c>
    </row>
    <row r="75" spans="1:12" x14ac:dyDescent="0.3">
      <c r="A75" s="3" t="s">
        <v>318</v>
      </c>
      <c r="B75" s="18">
        <v>40804</v>
      </c>
      <c r="C75" s="18">
        <v>73820</v>
      </c>
      <c r="D75" s="18">
        <v>95221</v>
      </c>
      <c r="E75" s="18">
        <v>110477</v>
      </c>
      <c r="F75" s="18">
        <v>137437</v>
      </c>
      <c r="G75" s="18">
        <v>101175</v>
      </c>
      <c r="H75" s="18">
        <v>72857</v>
      </c>
      <c r="I75" s="30" t="s">
        <v>428</v>
      </c>
      <c r="J75" s="30" t="s">
        <v>428</v>
      </c>
      <c r="K75" s="30" t="s">
        <v>428</v>
      </c>
      <c r="L75" s="31" t="s">
        <v>314</v>
      </c>
    </row>
    <row r="76" spans="1:12" x14ac:dyDescent="0.3">
      <c r="A76" s="3" t="s">
        <v>320</v>
      </c>
      <c r="B76" s="18">
        <v>2726</v>
      </c>
      <c r="C76" s="18">
        <v>4870</v>
      </c>
      <c r="D76" s="18">
        <v>7095</v>
      </c>
      <c r="E76" s="18">
        <v>10854</v>
      </c>
      <c r="F76" s="18">
        <v>14391</v>
      </c>
      <c r="G76" s="18">
        <v>10583</v>
      </c>
      <c r="H76" s="18">
        <v>8438</v>
      </c>
      <c r="I76" s="30" t="s">
        <v>428</v>
      </c>
      <c r="J76" s="30" t="s">
        <v>428</v>
      </c>
      <c r="K76" s="30" t="s">
        <v>428</v>
      </c>
      <c r="L76" s="31" t="s">
        <v>314</v>
      </c>
    </row>
    <row r="77" spans="1:12" x14ac:dyDescent="0.3">
      <c r="A77" s="3" t="s">
        <v>322</v>
      </c>
      <c r="B77" s="30" t="s">
        <v>428</v>
      </c>
      <c r="C77" s="30" t="s">
        <v>428</v>
      </c>
      <c r="D77" s="30" t="s">
        <v>428</v>
      </c>
      <c r="E77" s="18">
        <v>-551</v>
      </c>
      <c r="F77" s="18">
        <v>-1851</v>
      </c>
      <c r="G77" s="18">
        <v>-1458</v>
      </c>
      <c r="H77" s="18">
        <v>-642</v>
      </c>
      <c r="I77" s="30" t="s">
        <v>428</v>
      </c>
      <c r="J77" s="30" t="s">
        <v>428</v>
      </c>
      <c r="K77" s="30" t="s">
        <v>428</v>
      </c>
      <c r="L77" s="31" t="s">
        <v>314</v>
      </c>
    </row>
    <row r="78" spans="1:12" x14ac:dyDescent="0.3">
      <c r="A78" s="3" t="s">
        <v>324</v>
      </c>
      <c r="B78" s="18">
        <v>43475</v>
      </c>
      <c r="C78" s="18">
        <v>59283</v>
      </c>
      <c r="D78" s="18">
        <v>91642</v>
      </c>
      <c r="E78" s="18">
        <v>123692</v>
      </c>
      <c r="F78" s="18">
        <v>123321</v>
      </c>
      <c r="G78" s="18">
        <v>68844</v>
      </c>
      <c r="H78" s="18">
        <v>8897</v>
      </c>
      <c r="I78" s="30" t="s">
        <v>428</v>
      </c>
      <c r="J78" s="30" t="s">
        <v>428</v>
      </c>
      <c r="K78" s="30" t="s">
        <v>428</v>
      </c>
      <c r="L78" s="31" t="s">
        <v>314</v>
      </c>
    </row>
    <row r="79" spans="1:12" x14ac:dyDescent="0.3">
      <c r="A79" s="3" t="s">
        <v>227</v>
      </c>
      <c r="B79" s="18">
        <v>-12713</v>
      </c>
      <c r="C79" s="18">
        <v>-13565</v>
      </c>
      <c r="D79" s="18">
        <v>-42247</v>
      </c>
      <c r="E79" s="18">
        <v>-39917</v>
      </c>
      <c r="F79" s="18">
        <v>-33904</v>
      </c>
      <c r="G79" s="18">
        <v>4434</v>
      </c>
      <c r="H79" s="18">
        <v>31848</v>
      </c>
      <c r="I79" s="30" t="s">
        <v>428</v>
      </c>
      <c r="J79" s="30" t="s">
        <v>428</v>
      </c>
      <c r="K79" s="30" t="s">
        <v>428</v>
      </c>
      <c r="L79" s="31" t="s">
        <v>314</v>
      </c>
    </row>
    <row r="80" spans="1:12" x14ac:dyDescent="0.3">
      <c r="A80" s="3" t="s">
        <v>229</v>
      </c>
      <c r="B80" s="18">
        <v>-10634</v>
      </c>
      <c r="C80" s="18">
        <v>-10822</v>
      </c>
      <c r="D80" s="18">
        <v>-18890</v>
      </c>
      <c r="E80" s="18">
        <v>-26231</v>
      </c>
      <c r="F80" s="18">
        <v>-22501</v>
      </c>
      <c r="G80" s="18">
        <v>-14408</v>
      </c>
      <c r="H80" s="18">
        <v>-26</v>
      </c>
      <c r="I80" s="30" t="s">
        <v>428</v>
      </c>
      <c r="J80" s="30" t="s">
        <v>428</v>
      </c>
      <c r="K80" s="30" t="s">
        <v>428</v>
      </c>
      <c r="L80" s="31" t="s">
        <v>314</v>
      </c>
    </row>
    <row r="81" spans="1:12" x14ac:dyDescent="0.3">
      <c r="A81" s="3" t="s">
        <v>231</v>
      </c>
      <c r="B81" s="18">
        <v>-4048</v>
      </c>
      <c r="C81" s="18">
        <v>-1415</v>
      </c>
      <c r="D81" s="18">
        <v>-48</v>
      </c>
      <c r="E81" s="18">
        <v>-7570</v>
      </c>
      <c r="F81" s="18">
        <v>-15791</v>
      </c>
      <c r="G81" s="18">
        <v>-11734</v>
      </c>
      <c r="H81" s="18">
        <v>7069</v>
      </c>
      <c r="I81" s="30" t="s">
        <v>428</v>
      </c>
      <c r="J81" s="30" t="s">
        <v>428</v>
      </c>
      <c r="K81" s="30" t="s">
        <v>428</v>
      </c>
      <c r="L81" s="31" t="s">
        <v>314</v>
      </c>
    </row>
    <row r="82" spans="1:12" x14ac:dyDescent="0.3">
      <c r="A82" s="3" t="s">
        <v>247</v>
      </c>
      <c r="B82" s="18">
        <v>5622</v>
      </c>
      <c r="C82" s="18">
        <v>-6655</v>
      </c>
      <c r="D82" s="18">
        <v>1261</v>
      </c>
      <c r="E82" s="18">
        <v>3934</v>
      </c>
      <c r="F82" s="18">
        <v>1617</v>
      </c>
      <c r="G82" s="18">
        <v>-2813</v>
      </c>
      <c r="H82" s="18">
        <v>6188</v>
      </c>
      <c r="I82" s="30" t="s">
        <v>428</v>
      </c>
      <c r="J82" s="30" t="s">
        <v>428</v>
      </c>
      <c r="K82" s="30" t="s">
        <v>428</v>
      </c>
      <c r="L82" s="31" t="s">
        <v>314</v>
      </c>
    </row>
    <row r="83" spans="1:12" x14ac:dyDescent="0.3">
      <c r="A83" s="3" t="s">
        <v>251</v>
      </c>
      <c r="B83" s="18">
        <v>3708</v>
      </c>
      <c r="C83" s="18">
        <v>8720</v>
      </c>
      <c r="D83" s="18">
        <v>3444</v>
      </c>
      <c r="E83" s="18">
        <v>16850</v>
      </c>
      <c r="F83" s="18">
        <v>255</v>
      </c>
      <c r="G83" s="18">
        <v>-5190</v>
      </c>
      <c r="H83" s="18">
        <v>7159</v>
      </c>
      <c r="I83" s="30" t="s">
        <v>428</v>
      </c>
      <c r="J83" s="30" t="s">
        <v>428</v>
      </c>
      <c r="K83" s="30" t="s">
        <v>428</v>
      </c>
      <c r="L83" s="31" t="s">
        <v>314</v>
      </c>
    </row>
    <row r="84" spans="1:12" x14ac:dyDescent="0.3">
      <c r="A84" s="3" t="s">
        <v>331</v>
      </c>
      <c r="B84" s="18">
        <v>365</v>
      </c>
      <c r="C84" s="18">
        <v>-1006</v>
      </c>
      <c r="D84" s="18">
        <v>-264</v>
      </c>
      <c r="E84" s="18">
        <v>5163</v>
      </c>
      <c r="F84" s="18">
        <v>-4031</v>
      </c>
      <c r="G84" s="18">
        <v>-1513</v>
      </c>
      <c r="H84" s="18">
        <v>-1246</v>
      </c>
      <c r="I84" s="30" t="s">
        <v>428</v>
      </c>
      <c r="J84" s="30" t="s">
        <v>428</v>
      </c>
      <c r="K84" s="30" t="s">
        <v>428</v>
      </c>
      <c r="L84" s="31" t="s">
        <v>314</v>
      </c>
    </row>
    <row r="85" spans="1:12" x14ac:dyDescent="0.3">
      <c r="A85" s="3" t="s">
        <v>333</v>
      </c>
      <c r="B85" s="18">
        <v>9170</v>
      </c>
      <c r="C85" s="18">
        <v>53656</v>
      </c>
      <c r="D85" s="18">
        <v>153614</v>
      </c>
      <c r="E85" s="18">
        <v>285513</v>
      </c>
      <c r="F85" s="18">
        <v>387823</v>
      </c>
      <c r="G85" s="18">
        <v>280545</v>
      </c>
      <c r="H85" s="18">
        <v>239031</v>
      </c>
      <c r="I85" s="30" t="s">
        <v>428</v>
      </c>
      <c r="J85" s="30" t="s">
        <v>428</v>
      </c>
      <c r="K85" s="30" t="s">
        <v>428</v>
      </c>
      <c r="L85" s="31" t="s">
        <v>314</v>
      </c>
    </row>
    <row r="86" spans="1:12" x14ac:dyDescent="0.3">
      <c r="A86" s="3" t="s">
        <v>335</v>
      </c>
      <c r="B86" s="30" t="s">
        <v>428</v>
      </c>
      <c r="C86" s="30" t="s">
        <v>428</v>
      </c>
      <c r="D86" s="30" t="s">
        <v>428</v>
      </c>
      <c r="E86" s="18">
        <v>-193300</v>
      </c>
      <c r="F86" s="18">
        <v>-162926</v>
      </c>
      <c r="G86" s="18">
        <v>-99120</v>
      </c>
      <c r="H86" s="18">
        <v>-75438</v>
      </c>
      <c r="I86" s="30" t="s">
        <v>428</v>
      </c>
      <c r="J86" s="30" t="s">
        <v>428</v>
      </c>
      <c r="K86" s="30" t="s">
        <v>428</v>
      </c>
      <c r="L86" s="31" t="s">
        <v>314</v>
      </c>
    </row>
    <row r="87" spans="1:12" x14ac:dyDescent="0.3">
      <c r="A87" s="3" t="s">
        <v>337</v>
      </c>
      <c r="B87" s="30" t="s">
        <v>428</v>
      </c>
      <c r="C87" s="30" t="s">
        <v>428</v>
      </c>
      <c r="D87" s="30" t="s">
        <v>428</v>
      </c>
      <c r="E87" s="18">
        <v>3705</v>
      </c>
      <c r="F87" s="18">
        <v>115747</v>
      </c>
      <c r="G87" s="18">
        <v>82077</v>
      </c>
      <c r="H87" s="18">
        <v>79584</v>
      </c>
      <c r="I87" s="30" t="s">
        <v>428</v>
      </c>
      <c r="J87" s="30" t="s">
        <v>428</v>
      </c>
      <c r="K87" s="30" t="s">
        <v>428</v>
      </c>
      <c r="L87" s="31" t="s">
        <v>314</v>
      </c>
    </row>
    <row r="88" spans="1:12" x14ac:dyDescent="0.3">
      <c r="A88" s="3" t="s">
        <v>339</v>
      </c>
      <c r="B88" s="18">
        <v>-2620</v>
      </c>
      <c r="C88" s="18">
        <v>-4562</v>
      </c>
      <c r="D88" s="18">
        <v>-10493</v>
      </c>
      <c r="E88" s="18">
        <v>-9024</v>
      </c>
      <c r="F88" s="18">
        <v>-9303</v>
      </c>
      <c r="G88" s="18">
        <v>-6484</v>
      </c>
      <c r="H88" s="18">
        <v>-5587</v>
      </c>
      <c r="I88" s="30" t="s">
        <v>428</v>
      </c>
      <c r="J88" s="30" t="s">
        <v>428</v>
      </c>
      <c r="K88" s="30" t="s">
        <v>428</v>
      </c>
      <c r="L88" s="31" t="s">
        <v>314</v>
      </c>
    </row>
    <row r="89" spans="1:12" x14ac:dyDescent="0.3">
      <c r="A89" s="3" t="s">
        <v>341</v>
      </c>
      <c r="B89" s="18">
        <v>-3586</v>
      </c>
      <c r="C89" s="18">
        <v>-5562</v>
      </c>
      <c r="D89" s="18">
        <v>-3191</v>
      </c>
      <c r="E89" s="18">
        <v>-12116</v>
      </c>
      <c r="F89" s="18">
        <v>-18096</v>
      </c>
      <c r="G89" s="18">
        <v>-7369</v>
      </c>
      <c r="H89" s="18">
        <v>-7028</v>
      </c>
      <c r="I89" s="30" t="s">
        <v>428</v>
      </c>
      <c r="J89" s="30" t="s">
        <v>428</v>
      </c>
      <c r="K89" s="30" t="s">
        <v>428</v>
      </c>
      <c r="L89" s="31" t="s">
        <v>314</v>
      </c>
    </row>
    <row r="90" spans="1:12" x14ac:dyDescent="0.3">
      <c r="A90" s="3" t="s">
        <v>343</v>
      </c>
      <c r="B90" s="30" t="s">
        <v>428</v>
      </c>
      <c r="C90" s="18">
        <v>-4050</v>
      </c>
      <c r="D90" s="30" t="s">
        <v>428</v>
      </c>
      <c r="E90" s="18">
        <v>-6595</v>
      </c>
      <c r="F90" s="18">
        <v>-33100</v>
      </c>
      <c r="G90" s="18">
        <v>-33100</v>
      </c>
      <c r="H90" s="30" t="s">
        <v>428</v>
      </c>
      <c r="I90" s="30" t="s">
        <v>428</v>
      </c>
      <c r="J90" s="30" t="s">
        <v>428</v>
      </c>
      <c r="K90" s="30" t="s">
        <v>428</v>
      </c>
      <c r="L90" s="31" t="s">
        <v>314</v>
      </c>
    </row>
    <row r="91" spans="1:12" x14ac:dyDescent="0.3">
      <c r="A91" s="3" t="s">
        <v>345</v>
      </c>
      <c r="B91" s="30" t="s">
        <v>428</v>
      </c>
      <c r="C91" s="30" t="s">
        <v>428</v>
      </c>
      <c r="D91" s="30" t="s">
        <v>428</v>
      </c>
      <c r="E91" s="30" t="s">
        <v>428</v>
      </c>
      <c r="F91" s="18">
        <v>-500</v>
      </c>
      <c r="G91" s="18">
        <v>-500</v>
      </c>
      <c r="H91" s="30" t="s">
        <v>428</v>
      </c>
      <c r="I91" s="30" t="s">
        <v>428</v>
      </c>
      <c r="J91" s="30" t="s">
        <v>428</v>
      </c>
      <c r="K91" s="30" t="s">
        <v>428</v>
      </c>
      <c r="L91" s="31" t="s">
        <v>314</v>
      </c>
    </row>
    <row r="92" spans="1:12" x14ac:dyDescent="0.3">
      <c r="A92" s="3" t="s">
        <v>347</v>
      </c>
      <c r="B92" s="18">
        <v>-6206</v>
      </c>
      <c r="C92" s="18">
        <v>-14174</v>
      </c>
      <c r="D92" s="18">
        <v>-13584</v>
      </c>
      <c r="E92" s="18">
        <v>-217330</v>
      </c>
      <c r="F92" s="18">
        <v>-107678</v>
      </c>
      <c r="G92" s="18">
        <v>-64496</v>
      </c>
      <c r="H92" s="18">
        <v>-8469</v>
      </c>
      <c r="I92" s="30" t="s">
        <v>428</v>
      </c>
      <c r="J92" s="30" t="s">
        <v>428</v>
      </c>
      <c r="K92" s="30" t="s">
        <v>428</v>
      </c>
      <c r="L92" s="31" t="s">
        <v>314</v>
      </c>
    </row>
    <row r="93" spans="1:12" x14ac:dyDescent="0.3">
      <c r="A93" s="3" t="s">
        <v>349</v>
      </c>
      <c r="B93" s="18">
        <v>12480</v>
      </c>
      <c r="C93" s="18">
        <v>14776</v>
      </c>
      <c r="D93" s="18">
        <v>13617</v>
      </c>
      <c r="E93" s="18">
        <v>19356</v>
      </c>
      <c r="F93" s="18">
        <v>12570</v>
      </c>
      <c r="G93" s="18">
        <v>9702</v>
      </c>
      <c r="H93" s="18">
        <v>2338</v>
      </c>
      <c r="I93" s="30" t="s">
        <v>428</v>
      </c>
      <c r="J93" s="30" t="s">
        <v>428</v>
      </c>
      <c r="K93" s="30" t="s">
        <v>428</v>
      </c>
      <c r="L93" s="31" t="s">
        <v>314</v>
      </c>
    </row>
    <row r="94" spans="1:12" x14ac:dyDescent="0.3">
      <c r="A94" s="3" t="s">
        <v>351</v>
      </c>
      <c r="B94" s="30" t="s">
        <v>428</v>
      </c>
      <c r="C94" s="30" t="s">
        <v>428</v>
      </c>
      <c r="D94" s="18">
        <v>-11482</v>
      </c>
      <c r="E94" s="18">
        <v>-49358</v>
      </c>
      <c r="F94" s="18">
        <v>-41617</v>
      </c>
      <c r="G94" s="30" t="s">
        <v>428</v>
      </c>
      <c r="H94" s="18">
        <v>-18799</v>
      </c>
      <c r="I94" s="30" t="s">
        <v>428</v>
      </c>
      <c r="J94" s="30" t="s">
        <v>428</v>
      </c>
      <c r="K94" s="30" t="s">
        <v>428</v>
      </c>
      <c r="L94" s="31" t="s">
        <v>314</v>
      </c>
    </row>
    <row r="95" spans="1:12" x14ac:dyDescent="0.3">
      <c r="A95" s="3" t="s">
        <v>353</v>
      </c>
      <c r="B95" s="18">
        <v>430468</v>
      </c>
      <c r="C95" s="18">
        <v>14776</v>
      </c>
      <c r="D95" s="18">
        <v>2135</v>
      </c>
      <c r="E95" s="18">
        <v>-30002</v>
      </c>
      <c r="F95" s="18">
        <v>-29547</v>
      </c>
      <c r="G95" s="18">
        <v>9702</v>
      </c>
      <c r="H95" s="18">
        <v>-86064</v>
      </c>
      <c r="I95" s="30" t="s">
        <v>428</v>
      </c>
      <c r="J95" s="30" t="s">
        <v>428</v>
      </c>
      <c r="K95" s="30" t="s">
        <v>428</v>
      </c>
      <c r="L95" s="31" t="s">
        <v>314</v>
      </c>
    </row>
    <row r="96" spans="1:12" x14ac:dyDescent="0.3">
      <c r="A96" s="3" t="s">
        <v>355</v>
      </c>
      <c r="B96" s="18">
        <v>433432</v>
      </c>
      <c r="C96" s="18">
        <v>54258</v>
      </c>
      <c r="D96" s="18">
        <v>142165</v>
      </c>
      <c r="E96" s="18">
        <v>38181</v>
      </c>
      <c r="F96" s="18">
        <v>250598</v>
      </c>
      <c r="G96" s="18">
        <v>225751</v>
      </c>
      <c r="H96" s="18">
        <v>144498</v>
      </c>
      <c r="I96" s="30" t="s">
        <v>428</v>
      </c>
      <c r="J96" s="30" t="s">
        <v>428</v>
      </c>
      <c r="K96" s="30" t="s">
        <v>428</v>
      </c>
      <c r="L96" s="31" t="s">
        <v>314</v>
      </c>
    </row>
    <row r="97" spans="1:12" x14ac:dyDescent="0.3">
      <c r="A97" s="3" t="s">
        <v>357</v>
      </c>
      <c r="B97" s="18">
        <v>120490</v>
      </c>
      <c r="C97" s="18">
        <v>553922</v>
      </c>
      <c r="D97" s="18">
        <v>608180</v>
      </c>
      <c r="E97" s="18">
        <v>750345</v>
      </c>
      <c r="F97" s="18">
        <v>788526</v>
      </c>
      <c r="G97" s="18">
        <v>788526</v>
      </c>
      <c r="H97" s="18">
        <v>1039124</v>
      </c>
      <c r="I97" s="30" t="s">
        <v>428</v>
      </c>
      <c r="J97" s="30" t="s">
        <v>428</v>
      </c>
      <c r="K97" s="30" t="s">
        <v>428</v>
      </c>
      <c r="L97" s="31" t="s">
        <v>314</v>
      </c>
    </row>
    <row r="98" spans="1:12" x14ac:dyDescent="0.3">
      <c r="A98" s="3" t="s">
        <v>359</v>
      </c>
      <c r="B98" s="18">
        <v>553922</v>
      </c>
      <c r="C98" s="18">
        <v>608180</v>
      </c>
      <c r="D98" s="18">
        <v>750345</v>
      </c>
      <c r="E98" s="18">
        <v>788526</v>
      </c>
      <c r="F98" s="18">
        <v>1039124</v>
      </c>
      <c r="G98" s="18">
        <v>1014277</v>
      </c>
      <c r="H98" s="18">
        <v>1183622</v>
      </c>
      <c r="I98" s="30" t="s">
        <v>428</v>
      </c>
      <c r="J98" s="30" t="s">
        <v>428</v>
      </c>
      <c r="K98" s="30" t="s">
        <v>428</v>
      </c>
      <c r="L98" s="31" t="s">
        <v>314</v>
      </c>
    </row>
    <row r="99" spans="1:12" x14ac:dyDescent="0.3">
      <c r="A99" s="3" t="s">
        <v>361</v>
      </c>
      <c r="B99" s="30" t="s">
        <v>428</v>
      </c>
      <c r="C99" s="30" t="s">
        <v>428</v>
      </c>
      <c r="D99" s="18">
        <v>333</v>
      </c>
      <c r="E99" s="18">
        <v>238</v>
      </c>
      <c r="F99" s="30" t="s">
        <v>428</v>
      </c>
      <c r="G99" s="30" t="s">
        <v>428</v>
      </c>
      <c r="H99" s="30" t="s">
        <v>428</v>
      </c>
      <c r="I99" s="30" t="s">
        <v>428</v>
      </c>
      <c r="J99" s="30" t="s">
        <v>428</v>
      </c>
      <c r="K99" s="30" t="s">
        <v>428</v>
      </c>
      <c r="L99" s="31" t="s">
        <v>314</v>
      </c>
    </row>
    <row r="100" spans="1:12" x14ac:dyDescent="0.3">
      <c r="A100" s="3" t="s">
        <v>363</v>
      </c>
      <c r="B100" s="30" t="s">
        <v>428</v>
      </c>
      <c r="C100" s="30" t="s">
        <v>428</v>
      </c>
      <c r="D100" s="18">
        <v>100</v>
      </c>
      <c r="E100" s="30" t="s">
        <v>428</v>
      </c>
      <c r="F100" s="30" t="s">
        <v>428</v>
      </c>
      <c r="G100" s="30" t="s">
        <v>428</v>
      </c>
      <c r="H100" s="30" t="s">
        <v>428</v>
      </c>
      <c r="I100" s="30" t="s">
        <v>428</v>
      </c>
      <c r="J100" s="30" t="s">
        <v>428</v>
      </c>
      <c r="K100" s="30" t="s">
        <v>428</v>
      </c>
      <c r="L100" s="31" t="s">
        <v>314</v>
      </c>
    </row>
    <row r="101" spans="1:12" x14ac:dyDescent="0.3">
      <c r="A101" s="3" t="s">
        <v>364</v>
      </c>
      <c r="B101" s="18">
        <v>426191</v>
      </c>
      <c r="C101" s="30" t="s">
        <v>428</v>
      </c>
      <c r="D101" s="30" t="s">
        <v>428</v>
      </c>
      <c r="E101" s="30" t="s">
        <v>428</v>
      </c>
      <c r="F101" s="30" t="s">
        <v>428</v>
      </c>
      <c r="G101" s="30" t="s">
        <v>428</v>
      </c>
      <c r="H101" s="30" t="s">
        <v>428</v>
      </c>
      <c r="I101" s="30" t="s">
        <v>428</v>
      </c>
      <c r="J101" s="30" t="s">
        <v>428</v>
      </c>
      <c r="K101" s="30" t="s">
        <v>428</v>
      </c>
      <c r="L101" s="31" t="s">
        <v>4</v>
      </c>
    </row>
    <row r="102" spans="1:12" x14ac:dyDescent="0.3">
      <c r="A102" s="3" t="s">
        <v>366</v>
      </c>
      <c r="B102" s="18">
        <v>-7335</v>
      </c>
      <c r="C102" s="30" t="s">
        <v>428</v>
      </c>
      <c r="D102" s="30" t="s">
        <v>428</v>
      </c>
      <c r="E102" s="30" t="s">
        <v>428</v>
      </c>
      <c r="F102" s="30" t="s">
        <v>428</v>
      </c>
      <c r="G102" s="30" t="s">
        <v>428</v>
      </c>
      <c r="H102" s="30" t="s">
        <v>428</v>
      </c>
      <c r="I102" s="30" t="s">
        <v>428</v>
      </c>
      <c r="J102" s="30" t="s">
        <v>428</v>
      </c>
      <c r="K102" s="30" t="s">
        <v>428</v>
      </c>
      <c r="L102" s="31" t="s">
        <v>4</v>
      </c>
    </row>
    <row r="103" spans="1:12" x14ac:dyDescent="0.3">
      <c r="A103" s="3" t="s">
        <v>368</v>
      </c>
      <c r="B103" s="18">
        <v>-868</v>
      </c>
      <c r="C103" s="30" t="s">
        <v>428</v>
      </c>
      <c r="D103" s="30" t="s">
        <v>428</v>
      </c>
      <c r="E103" s="30" t="s">
        <v>428</v>
      </c>
      <c r="F103" s="30" t="s">
        <v>428</v>
      </c>
      <c r="G103" s="30" t="s">
        <v>428</v>
      </c>
      <c r="H103" s="18">
        <v>-69603</v>
      </c>
      <c r="I103" s="30" t="s">
        <v>428</v>
      </c>
      <c r="J103" s="30" t="s">
        <v>428</v>
      </c>
      <c r="K103" s="30" t="s">
        <v>428</v>
      </c>
      <c r="L103" s="31" t="s">
        <v>4</v>
      </c>
    </row>
    <row r="104" spans="1:12" x14ac:dyDescent="0.3">
      <c r="A104" s="3" t="s">
        <v>376</v>
      </c>
      <c r="B104" s="30" t="s">
        <v>428</v>
      </c>
      <c r="C104" s="30" t="s">
        <v>428</v>
      </c>
      <c r="D104" s="30" t="s">
        <v>428</v>
      </c>
      <c r="E104" s="30" t="s">
        <v>428</v>
      </c>
      <c r="F104" s="30" t="s">
        <v>428</v>
      </c>
      <c r="G104" s="30" t="s">
        <v>428</v>
      </c>
      <c r="H104" s="18">
        <v>578</v>
      </c>
      <c r="I104" s="30" t="s">
        <v>428</v>
      </c>
      <c r="J104" s="30" t="s">
        <v>428</v>
      </c>
      <c r="K104" s="30" t="s">
        <v>428</v>
      </c>
      <c r="L104" s="31" t="s">
        <v>4</v>
      </c>
    </row>
    <row r="106" spans="1:12" ht="18" customHeight="1" x14ac:dyDescent="0.3">
      <c r="A106" s="29" t="s">
        <v>431</v>
      </c>
    </row>
    <row r="107" spans="1:12" x14ac:dyDescent="0.3">
      <c r="A107" s="3" t="s">
        <v>382</v>
      </c>
      <c r="B107" s="18">
        <v>224520</v>
      </c>
      <c r="C107" s="18">
        <v>331803</v>
      </c>
      <c r="D107" s="18">
        <v>495497</v>
      </c>
      <c r="E107" s="18">
        <v>730737</v>
      </c>
      <c r="F107" s="18">
        <v>996268</v>
      </c>
      <c r="G107" s="18">
        <v>699713</v>
      </c>
      <c r="H107" s="30" t="s">
        <v>428</v>
      </c>
      <c r="I107" s="18">
        <v>240270</v>
      </c>
      <c r="J107" s="18">
        <v>268065</v>
      </c>
      <c r="K107" s="18">
        <v>250316</v>
      </c>
      <c r="L107" s="31" t="s">
        <v>383</v>
      </c>
    </row>
    <row r="108" spans="1:12" x14ac:dyDescent="0.3">
      <c r="A108" s="3" t="s">
        <v>386</v>
      </c>
      <c r="B108" s="18">
        <v>294247</v>
      </c>
      <c r="C108" s="18">
        <v>428647</v>
      </c>
      <c r="D108" s="18">
        <v>622181</v>
      </c>
      <c r="E108" s="18">
        <v>870601</v>
      </c>
      <c r="F108" s="18">
        <v>1158425</v>
      </c>
      <c r="G108" s="18">
        <v>821587</v>
      </c>
      <c r="H108" s="30" t="s">
        <v>428</v>
      </c>
      <c r="I108" s="18">
        <v>281919</v>
      </c>
      <c r="J108" s="18">
        <v>308484</v>
      </c>
      <c r="K108" s="18">
        <v>289054</v>
      </c>
      <c r="L108" s="31" t="s">
        <v>383</v>
      </c>
    </row>
    <row r="109" spans="1:12" x14ac:dyDescent="0.3">
      <c r="A109" s="3" t="s">
        <v>392</v>
      </c>
      <c r="B109" s="32">
        <v>9600000</v>
      </c>
      <c r="C109" s="32">
        <v>16300000</v>
      </c>
      <c r="D109" s="32">
        <v>26900000</v>
      </c>
      <c r="E109" s="32">
        <v>40500000</v>
      </c>
      <c r="F109" s="32">
        <v>52700000</v>
      </c>
      <c r="G109" s="30" t="s">
        <v>428</v>
      </c>
      <c r="H109" s="30" t="s">
        <v>428</v>
      </c>
      <c r="I109" s="32">
        <v>50500000</v>
      </c>
      <c r="J109" s="32">
        <v>56500000</v>
      </c>
      <c r="K109" s="32">
        <v>58700000</v>
      </c>
      <c r="L109" s="31" t="s">
        <v>383</v>
      </c>
    </row>
    <row r="110" spans="1:12" x14ac:dyDescent="0.3">
      <c r="A110" s="3" t="s">
        <v>396</v>
      </c>
      <c r="B110" s="32">
        <v>40500000</v>
      </c>
      <c r="C110" s="32">
        <v>60700000</v>
      </c>
      <c r="D110" s="32">
        <v>88400000</v>
      </c>
      <c r="E110" s="32">
        <v>116700000</v>
      </c>
      <c r="F110" s="32">
        <v>133100000</v>
      </c>
      <c r="G110" s="30" t="s">
        <v>428</v>
      </c>
      <c r="H110" s="30" t="s">
        <v>428</v>
      </c>
      <c r="I110" s="32">
        <v>135300000</v>
      </c>
      <c r="J110" s="30" t="s">
        <v>428</v>
      </c>
      <c r="K110" s="30" t="s">
        <v>428</v>
      </c>
      <c r="L110" s="31" t="s">
        <v>383</v>
      </c>
    </row>
    <row r="111" spans="1:12" x14ac:dyDescent="0.3">
      <c r="A111" s="3" t="s">
        <v>399</v>
      </c>
      <c r="B111" s="32">
        <v>2500000</v>
      </c>
      <c r="C111" s="32">
        <v>4200000</v>
      </c>
      <c r="D111" s="32">
        <v>6600000</v>
      </c>
      <c r="E111" s="32">
        <v>9500000</v>
      </c>
      <c r="F111" s="32">
        <v>12200000</v>
      </c>
      <c r="G111" s="30" t="s">
        <v>428</v>
      </c>
      <c r="H111" s="30" t="s">
        <v>428</v>
      </c>
      <c r="I111" s="32">
        <v>11500000</v>
      </c>
      <c r="J111" s="32">
        <v>12500000</v>
      </c>
      <c r="K111" s="32">
        <v>12700000</v>
      </c>
      <c r="L111" s="31" t="s">
        <v>383</v>
      </c>
    </row>
    <row r="113" spans="1:12" ht="18" customHeight="1" x14ac:dyDescent="0.3">
      <c r="A113" s="29" t="s">
        <v>432</v>
      </c>
    </row>
    <row r="114" spans="1:12" x14ac:dyDescent="0.3">
      <c r="A114" s="33" t="s">
        <v>433</v>
      </c>
      <c r="B114" s="18">
        <v>-60135</v>
      </c>
      <c r="C114" s="18">
        <v>-59574</v>
      </c>
      <c r="D114" s="18">
        <v>16067</v>
      </c>
      <c r="E114" s="18">
        <v>88574</v>
      </c>
      <c r="F114" s="18">
        <v>414065</v>
      </c>
      <c r="G114" s="18">
        <v>372111</v>
      </c>
      <c r="L114" s="31" t="s">
        <v>434</v>
      </c>
    </row>
    <row r="115" spans="1:12" x14ac:dyDescent="0.3">
      <c r="A115" s="33" t="s">
        <v>435</v>
      </c>
      <c r="B115" s="18">
        <v>19</v>
      </c>
      <c r="C115" s="18">
        <v>7235</v>
      </c>
      <c r="D115" s="18">
        <v>31091</v>
      </c>
      <c r="E115" s="18">
        <v>42697</v>
      </c>
      <c r="F115" s="18">
        <v>45231</v>
      </c>
      <c r="G115" s="18">
        <v>33635</v>
      </c>
      <c r="L115" s="31" t="s">
        <v>434</v>
      </c>
    </row>
    <row r="116" spans="1:12" x14ac:dyDescent="0.3">
      <c r="A116" s="33" t="s">
        <v>436</v>
      </c>
      <c r="B116" s="18">
        <v>177</v>
      </c>
      <c r="C116" s="18">
        <v>938</v>
      </c>
      <c r="D116" s="18">
        <v>1710</v>
      </c>
      <c r="E116" s="18">
        <v>13732</v>
      </c>
      <c r="F116" s="18">
        <v>-231655</v>
      </c>
      <c r="G116" s="18">
        <v>-244202</v>
      </c>
      <c r="L116" s="31" t="s">
        <v>434</v>
      </c>
    </row>
    <row r="117" spans="1:12" x14ac:dyDescent="0.3">
      <c r="A117" s="33" t="s">
        <v>437</v>
      </c>
      <c r="B117" s="18">
        <v>2726</v>
      </c>
      <c r="C117" s="18">
        <v>4870</v>
      </c>
      <c r="D117" s="18">
        <v>7095</v>
      </c>
      <c r="E117" s="18">
        <v>10854</v>
      </c>
      <c r="F117" s="18">
        <v>14391</v>
      </c>
      <c r="G117" s="18">
        <v>10583</v>
      </c>
      <c r="L117" s="31" t="s">
        <v>434</v>
      </c>
    </row>
    <row r="118" spans="1:12" x14ac:dyDescent="0.3">
      <c r="A118" s="33" t="s">
        <v>438</v>
      </c>
      <c r="B118" s="18">
        <v>40804</v>
      </c>
      <c r="C118" s="18">
        <v>73820</v>
      </c>
      <c r="D118" s="18">
        <v>95221</v>
      </c>
      <c r="E118" s="18">
        <v>110477</v>
      </c>
      <c r="F118" s="18">
        <v>137437</v>
      </c>
      <c r="G118" s="18">
        <v>101175</v>
      </c>
      <c r="L118" s="31" t="s">
        <v>434</v>
      </c>
    </row>
    <row r="119" spans="1:12" x14ac:dyDescent="0.3">
      <c r="A119" s="34" t="s">
        <v>439</v>
      </c>
      <c r="B119" s="35">
        <f t="shared" ref="B119:G119" si="0">B114-B115+B116+B117+B118</f>
        <v>-16447</v>
      </c>
      <c r="C119" s="35">
        <f t="shared" si="0"/>
        <v>12819</v>
      </c>
      <c r="D119" s="35">
        <f t="shared" si="0"/>
        <v>89002</v>
      </c>
      <c r="E119" s="35">
        <f t="shared" si="0"/>
        <v>180940</v>
      </c>
      <c r="F119" s="35">
        <f t="shared" si="0"/>
        <v>289007</v>
      </c>
      <c r="G119" s="35">
        <f t="shared" si="0"/>
        <v>206032</v>
      </c>
      <c r="L119" s="31" t="s">
        <v>434</v>
      </c>
    </row>
    <row r="120" spans="1:12" x14ac:dyDescent="0.3">
      <c r="A120" s="34" t="s">
        <v>440</v>
      </c>
      <c r="B120" s="18">
        <v>-1066</v>
      </c>
      <c r="C120" s="18">
        <v>15457</v>
      </c>
      <c r="D120" s="18">
        <v>93678</v>
      </c>
      <c r="E120" s="18">
        <v>191942</v>
      </c>
      <c r="F120" s="18">
        <v>305878</v>
      </c>
      <c r="G120" s="18">
        <v>221530</v>
      </c>
      <c r="L120" s="31" t="s">
        <v>434</v>
      </c>
    </row>
    <row r="121" spans="1:12" x14ac:dyDescent="0.3">
      <c r="A121" s="33" t="s">
        <v>441</v>
      </c>
      <c r="B121" s="36">
        <f t="shared" ref="B121:G121" si="1">B120-B119</f>
        <v>15381</v>
      </c>
      <c r="C121" s="36">
        <f t="shared" si="1"/>
        <v>2638</v>
      </c>
      <c r="D121" s="36">
        <f t="shared" si="1"/>
        <v>4676</v>
      </c>
      <c r="E121" s="36">
        <f t="shared" si="1"/>
        <v>11002</v>
      </c>
      <c r="F121" s="36">
        <f t="shared" si="1"/>
        <v>16871</v>
      </c>
      <c r="G121" s="36">
        <f t="shared" si="1"/>
        <v>15498</v>
      </c>
      <c r="L121" s="31" t="s">
        <v>434</v>
      </c>
    </row>
    <row r="122" spans="1:12" x14ac:dyDescent="0.3">
      <c r="A122" s="33" t="s">
        <v>442</v>
      </c>
      <c r="B122" s="37" t="str">
        <f t="shared" ref="B122:G122" si="2">IF(ABS(B119+B121-B120)&lt;=Tolerance_USD,"OK","BREAK")</f>
        <v>OK</v>
      </c>
      <c r="C122" s="37" t="str">
        <f t="shared" si="2"/>
        <v>OK</v>
      </c>
      <c r="D122" s="37" t="str">
        <f t="shared" si="2"/>
        <v>OK</v>
      </c>
      <c r="E122" s="37" t="str">
        <f t="shared" si="2"/>
        <v>OK</v>
      </c>
      <c r="F122" s="37" t="str">
        <f t="shared" si="2"/>
        <v>OK</v>
      </c>
      <c r="G122" s="37" t="str">
        <f t="shared" si="2"/>
        <v>OK</v>
      </c>
      <c r="L122" s="31" t="s">
        <v>434</v>
      </c>
    </row>
    <row r="124" spans="1:12" ht="18" customHeight="1" x14ac:dyDescent="0.3">
      <c r="A124" s="29" t="s">
        <v>443</v>
      </c>
    </row>
    <row r="125" spans="1:12" x14ac:dyDescent="0.3">
      <c r="A125" s="38" t="s">
        <v>444</v>
      </c>
      <c r="B125" s="39" t="str">
        <f>IF(ABS(B39-B51)&lt;=Tolerance_USD,"OK","BREAK")</f>
        <v>OK</v>
      </c>
      <c r="C125" s="39" t="str">
        <f>IF(ABS(C39-C51)&lt;=Tolerance_USD,"OK","BREAK")</f>
        <v>OK</v>
      </c>
      <c r="D125" s="39" t="str">
        <f>IF(ABS(D39-D51)&lt;=Tolerance_USD,"OK","BREAK")</f>
        <v>OK</v>
      </c>
      <c r="E125" s="39" t="str">
        <f>IF(ABS(E39-E51)&lt;=Tolerance_USD,"OK","BREAK")</f>
        <v>OK</v>
      </c>
      <c r="F125" s="39" t="str">
        <f>IF(ABS(F39-F51)&lt;=Tolerance_USD,"OK","BREAK")</f>
        <v>OK</v>
      </c>
      <c r="G125" s="40" t="s">
        <v>428</v>
      </c>
      <c r="H125" s="40" t="s">
        <v>428</v>
      </c>
      <c r="I125" s="40" t="s">
        <v>428</v>
      </c>
      <c r="J125" s="40" t="s">
        <v>428</v>
      </c>
      <c r="K125" s="39" t="str">
        <f>IF(ABS(K39-K51)&lt;=Tolerance_USD,"OK","BREAK")</f>
        <v>OK</v>
      </c>
    </row>
    <row r="126" spans="1:12" x14ac:dyDescent="0.3">
      <c r="A126" s="38" t="s">
        <v>445</v>
      </c>
      <c r="B126" s="39" t="str">
        <f>IF(ABS(B98-B30-0)&lt;=Tolerance_USD,"OK","BREAK")</f>
        <v>OK</v>
      </c>
      <c r="C126" s="39" t="str">
        <f>IF(ABS(C98-C30-0)&lt;=Tolerance_USD,"OK","BREAK")</f>
        <v>OK</v>
      </c>
      <c r="D126" s="39" t="str">
        <f>IF(ABS(D98-D30-D55)&lt;=Tolerance_USD,"OK","BREAK")</f>
        <v>OK</v>
      </c>
      <c r="E126" s="39" t="str">
        <f>IF(ABS(E98-E30-E55)&lt;=Tolerance_USD,"OK","BREAK")</f>
        <v>OK</v>
      </c>
      <c r="F126" s="39" t="str">
        <f>IF(ABS(F98-F30-F55)&lt;=Tolerance_USD,"OK","BREAK")</f>
        <v>OK</v>
      </c>
      <c r="G126" s="40" t="s">
        <v>428</v>
      </c>
      <c r="H126" s="39" t="str">
        <f>IF(ABS(H98-K30-K55)&lt;=Tolerance_USD,"OK","BREAK")</f>
        <v>OK</v>
      </c>
      <c r="I126" s="40" t="s">
        <v>428</v>
      </c>
      <c r="J126" s="40" t="s">
        <v>428</v>
      </c>
      <c r="K126" s="40" t="s">
        <v>428</v>
      </c>
    </row>
    <row r="128" spans="1:12" ht="18" customHeight="1" x14ac:dyDescent="0.3">
      <c r="A128" s="29" t="s">
        <v>446</v>
      </c>
    </row>
    <row r="129" spans="1:1" x14ac:dyDescent="0.3">
      <c r="A129" s="5" t="s">
        <v>447</v>
      </c>
    </row>
    <row r="130" spans="1:1" x14ac:dyDescent="0.3">
      <c r="A130" s="5" t="s">
        <v>448</v>
      </c>
    </row>
    <row r="131" spans="1:1" x14ac:dyDescent="0.3">
      <c r="A131" s="5" t="s">
        <v>449</v>
      </c>
    </row>
    <row r="132" spans="1:1" x14ac:dyDescent="0.3">
      <c r="A132" s="5" t="s">
        <v>450</v>
      </c>
    </row>
  </sheetData>
  <sheetProtection sheet="1" formatCells="0" formatColumns="0" formatRows="0" insertRows="0" deleteRows="0" sort="0" autoFilter="0"/>
  <mergeCells count="2">
    <mergeCell ref="A1:L1"/>
    <mergeCell ref="A2:L2"/>
  </mergeCells>
  <conditionalFormatting sqref="B122:G122">
    <cfRule type="expression" dxfId="81" priority="1">
      <formula>B122="OK"</formula>
    </cfRule>
    <cfRule type="expression" dxfId="80" priority="2">
      <formula>B122="BREAK"</formula>
    </cfRule>
  </conditionalFormatting>
  <conditionalFormatting sqref="B125:K126">
    <cfRule type="expression" dxfId="79" priority="3">
      <formula>B125="OK"</formula>
    </cfRule>
    <cfRule type="expression" dxfId="78" priority="4">
      <formula>B125="BREAK"</formula>
    </cfRule>
  </conditionalFormatting>
  <pageMargins left="0.7" right="0.7" top="0.75" bottom="0.75" header="0.3" footer="0.3"/>
  <pageSetup fitToHeight="0" orientation="landscape" useFirstPageNumber="1" horizontalDpi="4294967295" verticalDpi="4294967295"/>
  <headerFooter>
    <oddHeader>&amp;L&amp;"Calibri,Bold"03_Historicals&amp;R&amp;P / &amp;N</oddHeader>
    <oddFooter>&amp;LInternal model — not investment advice&amp;RAs-of 2026-10-06</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2937"/>
    <pageSetUpPr fitToPage="1"/>
  </sheetPr>
  <dimension ref="A1:G66"/>
  <sheetViews>
    <sheetView zoomScaleNormal="100" workbookViewId="0">
      <pane xSplit="1" ySplit="4" topLeftCell="B5" activePane="bottomRight" state="frozen"/>
      <selection pane="topRight"/>
      <selection pane="bottomLeft"/>
      <selection pane="bottomRight" activeCell="A2" sqref="A2:F4"/>
    </sheetView>
  </sheetViews>
  <sheetFormatPr defaultRowHeight="14.4" x14ac:dyDescent="0.3"/>
  <cols>
    <col min="1" max="1" width="67.33203125" customWidth="1"/>
    <col min="2" max="2" width="16" customWidth="1"/>
    <col min="3" max="3" width="14" customWidth="1"/>
    <col min="4" max="4" width="22" customWidth="1"/>
    <col min="5" max="6" width="12" customWidth="1"/>
    <col min="7" max="7" width="56" customWidth="1"/>
  </cols>
  <sheetData>
    <row r="1" spans="1:7" ht="22.05" customHeight="1" x14ac:dyDescent="0.4">
      <c r="A1" s="91" t="s">
        <v>451</v>
      </c>
      <c r="B1" s="91"/>
      <c r="C1" s="91"/>
      <c r="D1" s="91"/>
      <c r="E1" s="91"/>
      <c r="F1" s="91"/>
    </row>
    <row r="2" spans="1:7" x14ac:dyDescent="0.3">
      <c r="A2" s="92" t="s">
        <v>452</v>
      </c>
      <c r="B2" s="92"/>
      <c r="C2" s="92"/>
      <c r="D2" s="92"/>
      <c r="E2" s="92"/>
      <c r="F2" s="92"/>
    </row>
    <row r="3" spans="1:7" x14ac:dyDescent="0.3">
      <c r="A3" s="1" t="s">
        <v>453</v>
      </c>
    </row>
    <row r="4" spans="1:7" ht="19.95" customHeight="1" x14ac:dyDescent="0.3">
      <c r="A4" s="2" t="s">
        <v>454</v>
      </c>
      <c r="B4" s="2" t="s">
        <v>455</v>
      </c>
      <c r="C4" s="2" t="s">
        <v>129</v>
      </c>
      <c r="D4" s="2" t="s">
        <v>8</v>
      </c>
      <c r="E4" s="2" t="s">
        <v>456</v>
      </c>
      <c r="F4" s="2" t="s">
        <v>457</v>
      </c>
      <c r="G4" s="2" t="s">
        <v>458</v>
      </c>
    </row>
    <row r="5" spans="1:7" ht="15.6" x14ac:dyDescent="0.3">
      <c r="A5" s="29" t="s">
        <v>459</v>
      </c>
      <c r="B5" t="s">
        <v>4</v>
      </c>
      <c r="C5" t="s">
        <v>4</v>
      </c>
      <c r="D5" t="s">
        <v>4</v>
      </c>
      <c r="E5" t="s">
        <v>4</v>
      </c>
      <c r="F5" t="s">
        <v>4</v>
      </c>
      <c r="G5" t="s">
        <v>4</v>
      </c>
    </row>
    <row r="6" spans="1:7" ht="13.95" customHeight="1" x14ac:dyDescent="0.3">
      <c r="A6" s="33" t="s">
        <v>460</v>
      </c>
      <c r="B6" s="5" t="s">
        <v>461</v>
      </c>
      <c r="C6" s="41">
        <v>0.18392900000000001</v>
      </c>
      <c r="D6" s="5" t="s">
        <v>462</v>
      </c>
      <c r="E6" s="23">
        <v>-0.06</v>
      </c>
      <c r="F6" s="23">
        <v>0.06</v>
      </c>
      <c r="G6" s="24" t="s">
        <v>463</v>
      </c>
    </row>
    <row r="7" spans="1:7" ht="13.95" customHeight="1" x14ac:dyDescent="0.3">
      <c r="A7" s="42" t="s">
        <v>464</v>
      </c>
      <c r="B7" s="43" t="s">
        <v>461</v>
      </c>
      <c r="C7" s="44">
        <v>80.501599999999996</v>
      </c>
      <c r="D7" s="43" t="s">
        <v>465</v>
      </c>
      <c r="E7" s="27">
        <v>-4</v>
      </c>
      <c r="F7" s="27">
        <v>4</v>
      </c>
      <c r="G7" s="28" t="s">
        <v>466</v>
      </c>
    </row>
    <row r="8" spans="1:7" ht="13.95" customHeight="1" x14ac:dyDescent="0.3">
      <c r="A8" s="33" t="s">
        <v>467</v>
      </c>
      <c r="B8" s="5" t="s">
        <v>461</v>
      </c>
      <c r="C8" s="41">
        <v>8.2655999999999993E-2</v>
      </c>
      <c r="D8" s="5" t="s">
        <v>462</v>
      </c>
      <c r="E8" s="23">
        <v>-0.05</v>
      </c>
      <c r="F8" s="23">
        <v>0.05</v>
      </c>
      <c r="G8" s="24" t="s">
        <v>468</v>
      </c>
    </row>
    <row r="9" spans="1:7" ht="13.95" customHeight="1" x14ac:dyDescent="0.3">
      <c r="A9" s="42" t="s">
        <v>469</v>
      </c>
      <c r="B9" s="43" t="s">
        <v>461</v>
      </c>
      <c r="C9" s="45">
        <v>-2.9356E-2</v>
      </c>
      <c r="D9" s="43" t="s">
        <v>462</v>
      </c>
      <c r="E9" s="27">
        <v>-0.05</v>
      </c>
      <c r="F9" s="27">
        <v>0.05</v>
      </c>
      <c r="G9" s="28" t="s">
        <v>470</v>
      </c>
    </row>
    <row r="10" spans="1:7" ht="13.95" customHeight="1" x14ac:dyDescent="0.3">
      <c r="A10" s="33" t="s">
        <v>471</v>
      </c>
      <c r="B10" s="5" t="s">
        <v>461</v>
      </c>
      <c r="C10" s="41">
        <v>-0.17063300000000001</v>
      </c>
      <c r="D10" s="5" t="s">
        <v>462</v>
      </c>
      <c r="E10" s="23">
        <v>-0.06</v>
      </c>
      <c r="F10" s="23">
        <v>0.08</v>
      </c>
      <c r="G10" s="24" t="s">
        <v>472</v>
      </c>
    </row>
    <row r="11" spans="1:7" ht="13.95" customHeight="1" x14ac:dyDescent="0.3">
      <c r="A11" s="42" t="s">
        <v>473</v>
      </c>
      <c r="B11" s="43" t="s">
        <v>461</v>
      </c>
      <c r="C11" s="44">
        <v>0</v>
      </c>
      <c r="D11" s="43" t="s">
        <v>462</v>
      </c>
      <c r="E11" s="27">
        <v>-0.25</v>
      </c>
      <c r="F11" s="27">
        <v>0.5</v>
      </c>
      <c r="G11" s="28" t="s">
        <v>474</v>
      </c>
    </row>
    <row r="12" spans="1:7" ht="13.95" customHeight="1" x14ac:dyDescent="0.3">
      <c r="A12" s="33" t="s">
        <v>475</v>
      </c>
      <c r="B12" s="5" t="s">
        <v>461</v>
      </c>
      <c r="C12" s="41">
        <v>0.04</v>
      </c>
      <c r="D12" s="5" t="s">
        <v>476</v>
      </c>
      <c r="E12" s="23">
        <v>-0.01</v>
      </c>
      <c r="F12" s="23">
        <v>0.01</v>
      </c>
      <c r="G12" s="24" t="s">
        <v>477</v>
      </c>
    </row>
    <row r="13" spans="1:7" ht="15.6" x14ac:dyDescent="0.3">
      <c r="A13" s="29" t="s">
        <v>478</v>
      </c>
      <c r="B13" t="s">
        <v>4</v>
      </c>
      <c r="C13" t="s">
        <v>4</v>
      </c>
      <c r="D13" t="s">
        <v>4</v>
      </c>
      <c r="E13" t="s">
        <v>4</v>
      </c>
      <c r="F13" t="s">
        <v>4</v>
      </c>
      <c r="G13" t="s">
        <v>4</v>
      </c>
    </row>
    <row r="14" spans="1:7" ht="13.95" customHeight="1" x14ac:dyDescent="0.3">
      <c r="A14" s="33" t="s">
        <v>479</v>
      </c>
      <c r="B14" s="5" t="s">
        <v>480</v>
      </c>
      <c r="C14" s="32">
        <v>57.28</v>
      </c>
      <c r="D14" s="5" t="s">
        <v>481</v>
      </c>
      <c r="E14" s="23">
        <v>5</v>
      </c>
      <c r="F14" s="23">
        <v>-5</v>
      </c>
      <c r="G14" s="24" t="s">
        <v>482</v>
      </c>
    </row>
    <row r="15" spans="1:7" ht="13.95" customHeight="1" x14ac:dyDescent="0.3">
      <c r="A15" s="42" t="s">
        <v>483</v>
      </c>
      <c r="B15" s="43" t="s">
        <v>480</v>
      </c>
      <c r="C15" s="45">
        <v>0.47820000000000001</v>
      </c>
      <c r="D15" s="43" t="s">
        <v>484</v>
      </c>
      <c r="E15" s="27">
        <v>-0.05</v>
      </c>
      <c r="F15" s="27">
        <v>0.05</v>
      </c>
      <c r="G15" s="28" t="s">
        <v>485</v>
      </c>
    </row>
    <row r="16" spans="1:7" ht="13.95" customHeight="1" x14ac:dyDescent="0.3">
      <c r="A16" s="33" t="s">
        <v>486</v>
      </c>
      <c r="B16" s="5" t="s">
        <v>480</v>
      </c>
      <c r="C16" s="41">
        <v>9.8900000000000002E-2</v>
      </c>
      <c r="D16" s="5" t="s">
        <v>484</v>
      </c>
      <c r="E16" s="23">
        <v>0.01</v>
      </c>
      <c r="F16" s="23">
        <v>-0.01</v>
      </c>
      <c r="G16" s="24" t="s">
        <v>487</v>
      </c>
    </row>
    <row r="17" spans="1:7" ht="13.95" customHeight="1" x14ac:dyDescent="0.3">
      <c r="A17" s="42" t="s">
        <v>488</v>
      </c>
      <c r="B17" s="43" t="s">
        <v>480</v>
      </c>
      <c r="C17" s="45">
        <v>1.6E-2</v>
      </c>
      <c r="D17" s="43" t="s">
        <v>484</v>
      </c>
      <c r="E17" s="27">
        <v>5.0000000000000001E-3</v>
      </c>
      <c r="F17" s="27">
        <v>-5.0000000000000001E-3</v>
      </c>
      <c r="G17" s="28" t="s">
        <v>489</v>
      </c>
    </row>
    <row r="18" spans="1:7" ht="13.95" customHeight="1" x14ac:dyDescent="0.3">
      <c r="A18" s="33" t="s">
        <v>490</v>
      </c>
      <c r="B18" s="5" t="s">
        <v>480</v>
      </c>
      <c r="C18" s="41">
        <v>1.3599999999999999E-2</v>
      </c>
      <c r="D18" s="5" t="s">
        <v>484</v>
      </c>
      <c r="E18" s="23">
        <v>-5.0000000000000001E-3</v>
      </c>
      <c r="F18" s="23">
        <v>5.0000000000000001E-3</v>
      </c>
      <c r="G18" s="24" t="s">
        <v>491</v>
      </c>
    </row>
    <row r="19" spans="1:7" ht="13.95" customHeight="1" x14ac:dyDescent="0.3">
      <c r="A19" s="42" t="s">
        <v>492</v>
      </c>
      <c r="B19" s="43" t="s">
        <v>480</v>
      </c>
      <c r="C19" s="46">
        <v>10.130000000000001</v>
      </c>
      <c r="D19" s="43" t="s">
        <v>481</v>
      </c>
      <c r="E19" s="27">
        <v>-2</v>
      </c>
      <c r="F19" s="27">
        <v>2</v>
      </c>
      <c r="G19" s="28" t="s">
        <v>493</v>
      </c>
    </row>
    <row r="20" spans="1:7" ht="13.95" customHeight="1" x14ac:dyDescent="0.3">
      <c r="A20" s="33" t="s">
        <v>494</v>
      </c>
      <c r="B20" s="5" t="s">
        <v>480</v>
      </c>
      <c r="C20" s="41">
        <v>7.7000000000000002E-3</v>
      </c>
      <c r="D20" s="5" t="s">
        <v>484</v>
      </c>
      <c r="E20" s="23">
        <v>-2E-3</v>
      </c>
      <c r="F20" s="23">
        <v>2E-3</v>
      </c>
      <c r="G20" s="24" t="s">
        <v>495</v>
      </c>
    </row>
    <row r="21" spans="1:7" ht="13.95" customHeight="1" x14ac:dyDescent="0.3">
      <c r="A21" s="42" t="s">
        <v>496</v>
      </c>
      <c r="B21" s="43" t="s">
        <v>480</v>
      </c>
      <c r="C21" s="45">
        <v>4.3999999999999997E-2</v>
      </c>
      <c r="D21" s="43" t="s">
        <v>484</v>
      </c>
      <c r="E21" s="27">
        <v>5.0000000000000001E-3</v>
      </c>
      <c r="F21" s="27">
        <v>-5.0000000000000001E-3</v>
      </c>
      <c r="G21" s="28" t="s">
        <v>497</v>
      </c>
    </row>
    <row r="22" spans="1:7" ht="13.95" customHeight="1" x14ac:dyDescent="0.3">
      <c r="A22" s="33" t="s">
        <v>498</v>
      </c>
      <c r="B22" s="5" t="s">
        <v>480</v>
      </c>
      <c r="C22" s="41">
        <v>1.1999999999999999E-3</v>
      </c>
      <c r="D22" s="5" t="s">
        <v>484</v>
      </c>
      <c r="E22" s="23">
        <v>1E-3</v>
      </c>
      <c r="F22" s="23">
        <v>-1E-3</v>
      </c>
      <c r="G22" s="24" t="s">
        <v>499</v>
      </c>
    </row>
    <row r="23" spans="1:7" ht="15.6" x14ac:dyDescent="0.3">
      <c r="A23" s="29" t="s">
        <v>500</v>
      </c>
      <c r="B23" t="s">
        <v>4</v>
      </c>
      <c r="C23" t="s">
        <v>4</v>
      </c>
      <c r="D23" t="s">
        <v>4</v>
      </c>
      <c r="E23" t="s">
        <v>4</v>
      </c>
      <c r="F23" t="s">
        <v>4</v>
      </c>
      <c r="G23" t="s">
        <v>4</v>
      </c>
    </row>
    <row r="24" spans="1:7" ht="13.95" customHeight="1" x14ac:dyDescent="0.3">
      <c r="A24" s="33" t="s">
        <v>501</v>
      </c>
      <c r="B24" s="5" t="s">
        <v>502</v>
      </c>
      <c r="C24" s="41">
        <v>1.7399999999999999E-2</v>
      </c>
      <c r="D24" s="5" t="s">
        <v>484</v>
      </c>
      <c r="E24" s="23">
        <v>3.0000000000000001E-3</v>
      </c>
      <c r="F24" s="23">
        <v>-3.0000000000000001E-3</v>
      </c>
      <c r="G24" s="24" t="s">
        <v>503</v>
      </c>
    </row>
    <row r="25" spans="1:7" ht="13.95" customHeight="1" x14ac:dyDescent="0.3">
      <c r="A25" s="42" t="s">
        <v>504</v>
      </c>
      <c r="B25" s="43" t="s">
        <v>502</v>
      </c>
      <c r="C25" s="45">
        <v>8.9999999999999993E-3</v>
      </c>
      <c r="D25" s="43" t="s">
        <v>484</v>
      </c>
      <c r="E25" s="27">
        <v>2E-3</v>
      </c>
      <c r="F25" s="27">
        <v>-2E-3</v>
      </c>
      <c r="G25" s="28" t="s">
        <v>505</v>
      </c>
    </row>
    <row r="26" spans="1:7" ht="13.95" customHeight="1" x14ac:dyDescent="0.3">
      <c r="A26" s="33" t="s">
        <v>506</v>
      </c>
      <c r="B26" s="5" t="s">
        <v>502</v>
      </c>
      <c r="C26" s="41">
        <v>2.64E-2</v>
      </c>
      <c r="D26" s="5" t="s">
        <v>484</v>
      </c>
      <c r="E26" s="23">
        <v>5.0000000000000001E-3</v>
      </c>
      <c r="F26" s="23">
        <v>-5.0000000000000001E-3</v>
      </c>
      <c r="G26" s="24" t="s">
        <v>507</v>
      </c>
    </row>
    <row r="27" spans="1:7" ht="13.95" customHeight="1" x14ac:dyDescent="0.3">
      <c r="A27" s="42" t="s">
        <v>508</v>
      </c>
      <c r="B27" s="43" t="s">
        <v>502</v>
      </c>
      <c r="C27" s="45">
        <v>5.0000000000000001E-3</v>
      </c>
      <c r="D27" s="43" t="s">
        <v>484</v>
      </c>
      <c r="E27" s="27">
        <v>1E-3</v>
      </c>
      <c r="F27" s="27">
        <v>-1E-3</v>
      </c>
      <c r="G27" s="28" t="s">
        <v>509</v>
      </c>
    </row>
    <row r="28" spans="1:7" ht="13.95" customHeight="1" x14ac:dyDescent="0.3">
      <c r="A28" s="33" t="s">
        <v>510</v>
      </c>
      <c r="B28" s="5" t="s">
        <v>502</v>
      </c>
      <c r="C28" s="41">
        <v>8.8999999999999999E-3</v>
      </c>
      <c r="D28" s="5" t="s">
        <v>484</v>
      </c>
      <c r="E28" s="23">
        <v>1E-3</v>
      </c>
      <c r="F28" s="23">
        <v>-1E-3</v>
      </c>
      <c r="G28" s="24" t="s">
        <v>511</v>
      </c>
    </row>
    <row r="29" spans="1:7" ht="13.95" customHeight="1" x14ac:dyDescent="0.3">
      <c r="A29" s="42" t="s">
        <v>512</v>
      </c>
      <c r="B29" s="43" t="s">
        <v>502</v>
      </c>
      <c r="C29" s="45">
        <v>8.9800000000000005E-2</v>
      </c>
      <c r="D29" s="43" t="s">
        <v>513</v>
      </c>
      <c r="E29" s="27">
        <v>0.01</v>
      </c>
      <c r="F29" s="27">
        <v>-0.01</v>
      </c>
      <c r="G29" s="28" t="s">
        <v>514</v>
      </c>
    </row>
    <row r="30" spans="1:7" ht="15.6" x14ac:dyDescent="0.3">
      <c r="A30" s="29" t="s">
        <v>515</v>
      </c>
      <c r="B30" t="s">
        <v>4</v>
      </c>
      <c r="C30" t="s">
        <v>4</v>
      </c>
      <c r="D30" t="s">
        <v>4</v>
      </c>
      <c r="E30" t="s">
        <v>4</v>
      </c>
      <c r="F30" t="s">
        <v>4</v>
      </c>
      <c r="G30" t="s">
        <v>4</v>
      </c>
    </row>
    <row r="31" spans="1:7" ht="13.95" customHeight="1" x14ac:dyDescent="0.3">
      <c r="A31" s="42" t="s">
        <v>516</v>
      </c>
      <c r="B31" s="43" t="s">
        <v>517</v>
      </c>
      <c r="C31" s="45">
        <v>0.13250000000000001</v>
      </c>
      <c r="D31" s="43" t="s">
        <v>484</v>
      </c>
      <c r="E31" s="27">
        <v>0.02</v>
      </c>
      <c r="F31" s="27">
        <v>-0.02</v>
      </c>
      <c r="G31" s="28" t="s">
        <v>518</v>
      </c>
    </row>
    <row r="32" spans="1:7" ht="13.95" customHeight="1" x14ac:dyDescent="0.3">
      <c r="A32" s="33" t="s">
        <v>519</v>
      </c>
      <c r="B32" s="5" t="s">
        <v>517</v>
      </c>
      <c r="C32" s="41">
        <v>0.08</v>
      </c>
      <c r="D32" s="5" t="s">
        <v>484</v>
      </c>
      <c r="E32" s="23">
        <v>0.01</v>
      </c>
      <c r="F32" s="23">
        <v>-0.01</v>
      </c>
      <c r="G32" s="24" t="s">
        <v>520</v>
      </c>
    </row>
    <row r="33" spans="1:7" ht="15.6" x14ac:dyDescent="0.3">
      <c r="A33" s="29" t="s">
        <v>521</v>
      </c>
      <c r="B33" t="s">
        <v>4</v>
      </c>
      <c r="C33" t="s">
        <v>4</v>
      </c>
      <c r="D33" t="s">
        <v>4</v>
      </c>
      <c r="E33" t="s">
        <v>4</v>
      </c>
      <c r="F33" t="s">
        <v>4</v>
      </c>
      <c r="G33" t="s">
        <v>4</v>
      </c>
    </row>
    <row r="34" spans="1:7" ht="13.95" customHeight="1" x14ac:dyDescent="0.3">
      <c r="A34" s="33" t="s">
        <v>522</v>
      </c>
      <c r="B34" s="5" t="s">
        <v>523</v>
      </c>
      <c r="C34" s="41">
        <v>0.277694</v>
      </c>
      <c r="D34" s="5" t="s">
        <v>484</v>
      </c>
      <c r="E34" s="23">
        <v>0.02</v>
      </c>
      <c r="F34" s="23">
        <v>-0.02</v>
      </c>
      <c r="G34" s="24" t="s">
        <v>524</v>
      </c>
    </row>
    <row r="35" spans="1:7" ht="13.95" customHeight="1" x14ac:dyDescent="0.3">
      <c r="A35" s="42" t="s">
        <v>525</v>
      </c>
      <c r="B35" s="43" t="s">
        <v>523</v>
      </c>
      <c r="C35" s="45">
        <v>0.29522599999999999</v>
      </c>
      <c r="D35" s="43" t="s">
        <v>484</v>
      </c>
      <c r="E35" s="27">
        <v>0.02</v>
      </c>
      <c r="F35" s="27">
        <v>-0.02</v>
      </c>
      <c r="G35" s="28" t="s">
        <v>526</v>
      </c>
    </row>
    <row r="36" spans="1:7" ht="13.95" customHeight="1" x14ac:dyDescent="0.3">
      <c r="A36" s="33" t="s">
        <v>527</v>
      </c>
      <c r="B36" s="5" t="s">
        <v>523</v>
      </c>
      <c r="C36" s="41">
        <v>0.121124</v>
      </c>
      <c r="D36" s="5" t="s">
        <v>484</v>
      </c>
      <c r="E36" s="23">
        <v>0.01</v>
      </c>
      <c r="F36" s="23">
        <v>-0.01</v>
      </c>
      <c r="G36" s="24" t="s">
        <v>528</v>
      </c>
    </row>
    <row r="37" spans="1:7" ht="13.95" customHeight="1" x14ac:dyDescent="0.3">
      <c r="A37" s="42" t="s">
        <v>529</v>
      </c>
      <c r="B37" s="43" t="s">
        <v>523</v>
      </c>
      <c r="C37" s="45">
        <v>0.17529800000000001</v>
      </c>
      <c r="D37" s="43" t="s">
        <v>484</v>
      </c>
      <c r="E37" s="27">
        <v>0.01</v>
      </c>
      <c r="F37" s="27">
        <v>-0.01</v>
      </c>
      <c r="G37" s="28" t="s">
        <v>530</v>
      </c>
    </row>
    <row r="38" spans="1:7" ht="13.95" customHeight="1" x14ac:dyDescent="0.3">
      <c r="A38" s="33" t="s">
        <v>531</v>
      </c>
      <c r="B38" s="5" t="s">
        <v>523</v>
      </c>
      <c r="C38" s="41">
        <v>1.5510000000000001E-3</v>
      </c>
      <c r="D38" s="5" t="s">
        <v>484</v>
      </c>
      <c r="E38" s="23">
        <v>-1E-3</v>
      </c>
      <c r="F38" s="23">
        <v>1E-3</v>
      </c>
      <c r="G38" s="24" t="s">
        <v>532</v>
      </c>
    </row>
    <row r="39" spans="1:7" ht="15.6" x14ac:dyDescent="0.3">
      <c r="A39" s="29" t="s">
        <v>533</v>
      </c>
      <c r="B39" t="s">
        <v>4</v>
      </c>
      <c r="C39" t="s">
        <v>4</v>
      </c>
      <c r="D39" t="s">
        <v>4</v>
      </c>
      <c r="E39" t="s">
        <v>4</v>
      </c>
      <c r="F39" t="s">
        <v>4</v>
      </c>
      <c r="G39" t="s">
        <v>4</v>
      </c>
    </row>
    <row r="40" spans="1:7" ht="13.95" customHeight="1" x14ac:dyDescent="0.3">
      <c r="A40" s="33" t="s">
        <v>534</v>
      </c>
      <c r="B40" s="5" t="s">
        <v>535</v>
      </c>
      <c r="C40" s="41">
        <v>0.13422500000000001</v>
      </c>
      <c r="D40" s="5" t="s">
        <v>536</v>
      </c>
      <c r="E40" s="23">
        <v>0.03</v>
      </c>
      <c r="F40" s="23">
        <v>-0.03</v>
      </c>
      <c r="G40" s="24" t="s">
        <v>537</v>
      </c>
    </row>
    <row r="41" spans="1:7" ht="15.6" x14ac:dyDescent="0.3">
      <c r="A41" s="29" t="s">
        <v>538</v>
      </c>
      <c r="B41" t="s">
        <v>4</v>
      </c>
      <c r="C41" t="s">
        <v>4</v>
      </c>
      <c r="D41" t="s">
        <v>4</v>
      </c>
      <c r="E41" t="s">
        <v>4</v>
      </c>
      <c r="F41" t="s">
        <v>4</v>
      </c>
      <c r="G41" t="s">
        <v>4</v>
      </c>
    </row>
    <row r="42" spans="1:7" ht="13.95" customHeight="1" x14ac:dyDescent="0.3">
      <c r="A42" s="33" t="s">
        <v>539</v>
      </c>
      <c r="B42" s="5" t="s">
        <v>540</v>
      </c>
      <c r="C42" s="18">
        <v>139206</v>
      </c>
      <c r="D42" s="5" t="s">
        <v>142</v>
      </c>
      <c r="E42" s="23">
        <v>-40000</v>
      </c>
      <c r="F42" s="23">
        <v>40000</v>
      </c>
      <c r="G42" s="24" t="s">
        <v>541</v>
      </c>
    </row>
    <row r="43" spans="1:7" ht="13.95" customHeight="1" x14ac:dyDescent="0.3">
      <c r="A43" s="42" t="s">
        <v>542</v>
      </c>
      <c r="B43" s="43" t="s">
        <v>540</v>
      </c>
      <c r="C43" s="44">
        <v>12570</v>
      </c>
      <c r="D43" s="43" t="s">
        <v>142</v>
      </c>
      <c r="E43" s="27">
        <v>-3000</v>
      </c>
      <c r="F43" s="27">
        <v>3000</v>
      </c>
      <c r="G43" s="28" t="s">
        <v>543</v>
      </c>
    </row>
    <row r="44" spans="1:7" ht="13.95" customHeight="1" x14ac:dyDescent="0.3">
      <c r="A44" s="33" t="s">
        <v>544</v>
      </c>
      <c r="B44" s="5" t="s">
        <v>540</v>
      </c>
      <c r="C44" s="18">
        <v>41617</v>
      </c>
      <c r="D44" s="5" t="s">
        <v>142</v>
      </c>
      <c r="E44" s="23">
        <v>-8000</v>
      </c>
      <c r="F44" s="23">
        <v>8000</v>
      </c>
      <c r="G44" s="24" t="s">
        <v>545</v>
      </c>
    </row>
    <row r="45" spans="1:7" ht="13.95" customHeight="1" x14ac:dyDescent="0.3">
      <c r="A45" s="42" t="s">
        <v>546</v>
      </c>
      <c r="B45" s="43" t="s">
        <v>540</v>
      </c>
      <c r="C45" s="45">
        <v>4.0178999999999999E-2</v>
      </c>
      <c r="D45" s="43" t="s">
        <v>547</v>
      </c>
      <c r="E45" s="27">
        <v>-0.01</v>
      </c>
      <c r="F45" s="27">
        <v>0.01</v>
      </c>
      <c r="G45" s="28" t="s">
        <v>548</v>
      </c>
    </row>
    <row r="46" spans="1:7" ht="15.6" x14ac:dyDescent="0.3">
      <c r="A46" s="29" t="s">
        <v>549</v>
      </c>
      <c r="B46" t="s">
        <v>4</v>
      </c>
      <c r="C46" t="s">
        <v>4</v>
      </c>
      <c r="D46" t="s">
        <v>4</v>
      </c>
      <c r="E46" t="s">
        <v>4</v>
      </c>
      <c r="F46" t="s">
        <v>4</v>
      </c>
      <c r="G46" t="s">
        <v>4</v>
      </c>
    </row>
    <row r="47" spans="1:7" ht="13.95" customHeight="1" x14ac:dyDescent="0.3">
      <c r="A47" s="42" t="s">
        <v>550</v>
      </c>
      <c r="B47" s="43" t="s">
        <v>551</v>
      </c>
      <c r="C47" s="45">
        <v>4.7899999999999998E-2</v>
      </c>
      <c r="D47" s="43" t="s">
        <v>552</v>
      </c>
      <c r="E47" s="27">
        <v>5.0000000000000001E-3</v>
      </c>
      <c r="F47" s="27">
        <v>-5.0000000000000001E-3</v>
      </c>
      <c r="G47" s="28" t="s">
        <v>553</v>
      </c>
    </row>
    <row r="48" spans="1:7" ht="13.95" customHeight="1" x14ac:dyDescent="0.3">
      <c r="A48" s="33" t="s">
        <v>554</v>
      </c>
      <c r="B48" s="5" t="s">
        <v>551</v>
      </c>
      <c r="C48" s="18">
        <v>1.49</v>
      </c>
      <c r="D48" s="5" t="s">
        <v>555</v>
      </c>
      <c r="E48" s="23">
        <v>0.15</v>
      </c>
      <c r="F48" s="23">
        <v>-0.15</v>
      </c>
      <c r="G48" s="24" t="s">
        <v>556</v>
      </c>
    </row>
    <row r="49" spans="1:7" ht="13.95" customHeight="1" x14ac:dyDescent="0.3">
      <c r="A49" s="42" t="s">
        <v>557</v>
      </c>
      <c r="B49" s="43" t="s">
        <v>551</v>
      </c>
      <c r="C49" s="45">
        <v>4.2500000000000003E-2</v>
      </c>
      <c r="D49" s="43" t="s">
        <v>552</v>
      </c>
      <c r="E49" s="27">
        <v>5.0000000000000001E-3</v>
      </c>
      <c r="F49" s="27">
        <v>-5.0000000000000001E-3</v>
      </c>
      <c r="G49" s="28" t="s">
        <v>558</v>
      </c>
    </row>
    <row r="50" spans="1:7" ht="13.95" customHeight="1" x14ac:dyDescent="0.3">
      <c r="A50" s="33" t="s">
        <v>559</v>
      </c>
      <c r="B50" s="5" t="s">
        <v>551</v>
      </c>
      <c r="C50" s="41">
        <v>2.5000000000000001E-2</v>
      </c>
      <c r="D50" s="5" t="s">
        <v>552</v>
      </c>
      <c r="E50" s="23">
        <v>-5.0000000000000001E-3</v>
      </c>
      <c r="F50" s="23">
        <v>5.0000000000000001E-3</v>
      </c>
      <c r="G50" s="24" t="s">
        <v>560</v>
      </c>
    </row>
    <row r="51" spans="1:7" ht="13.95" customHeight="1" x14ac:dyDescent="0.3">
      <c r="A51" s="42" t="s">
        <v>561</v>
      </c>
      <c r="B51" s="43" t="s">
        <v>551</v>
      </c>
      <c r="C51" s="46">
        <v>157.85</v>
      </c>
      <c r="D51" s="43" t="s">
        <v>562</v>
      </c>
      <c r="E51" s="27">
        <v>0</v>
      </c>
      <c r="F51" s="27">
        <v>0</v>
      </c>
      <c r="G51" s="28" t="s">
        <v>563</v>
      </c>
    </row>
    <row r="52" spans="1:7" ht="13.95" customHeight="1" x14ac:dyDescent="0.3">
      <c r="A52" s="33" t="s">
        <v>564</v>
      </c>
      <c r="B52" s="5" t="s">
        <v>551</v>
      </c>
      <c r="C52" s="32">
        <v>50031000</v>
      </c>
      <c r="D52" s="5" t="s">
        <v>393</v>
      </c>
      <c r="E52" s="23">
        <v>0</v>
      </c>
      <c r="F52" s="23">
        <v>0</v>
      </c>
      <c r="G52" s="24" t="s">
        <v>565</v>
      </c>
    </row>
    <row r="53" spans="1:7" ht="13.95" customHeight="1" x14ac:dyDescent="0.3">
      <c r="A53" s="42" t="s">
        <v>566</v>
      </c>
      <c r="B53" s="43" t="s">
        <v>551</v>
      </c>
      <c r="C53" s="44">
        <v>157.85</v>
      </c>
      <c r="D53" s="43" t="s">
        <v>562</v>
      </c>
      <c r="E53" s="27">
        <v>0</v>
      </c>
      <c r="F53" s="27">
        <v>0</v>
      </c>
      <c r="G53" s="28" t="s">
        <v>567</v>
      </c>
    </row>
    <row r="54" spans="1:7" ht="13.95" customHeight="1" x14ac:dyDescent="0.3">
      <c r="A54" s="33" t="s">
        <v>568</v>
      </c>
      <c r="B54" s="5" t="s">
        <v>551</v>
      </c>
      <c r="C54" s="47" t="s">
        <v>569</v>
      </c>
      <c r="D54" s="5" t="s">
        <v>570</v>
      </c>
      <c r="E54" s="5" t="s">
        <v>4</v>
      </c>
      <c r="F54" s="5" t="s">
        <v>4</v>
      </c>
      <c r="G54" s="24" t="s">
        <v>571</v>
      </c>
    </row>
    <row r="56" spans="1:7" ht="15.6" x14ac:dyDescent="0.3">
      <c r="A56" s="29" t="s">
        <v>572</v>
      </c>
    </row>
    <row r="57" spans="1:7" x14ac:dyDescent="0.3">
      <c r="A57" s="48" t="s">
        <v>573</v>
      </c>
      <c r="B57" s="49" t="s">
        <v>84</v>
      </c>
    </row>
    <row r="58" spans="1:7" x14ac:dyDescent="0.3">
      <c r="A58" s="48" t="s">
        <v>574</v>
      </c>
      <c r="B58" s="49" t="s">
        <v>76</v>
      </c>
    </row>
    <row r="59" spans="1:7" x14ac:dyDescent="0.3">
      <c r="A59" s="48" t="s">
        <v>575</v>
      </c>
      <c r="B59" s="49" t="s">
        <v>576</v>
      </c>
    </row>
    <row r="60" spans="1:7" x14ac:dyDescent="0.3">
      <c r="A60" s="48" t="s">
        <v>577</v>
      </c>
      <c r="B60" s="50">
        <v>2030</v>
      </c>
    </row>
    <row r="61" spans="1:7" x14ac:dyDescent="0.3">
      <c r="A61" s="48" t="s">
        <v>578</v>
      </c>
      <c r="B61" s="49" t="s">
        <v>87</v>
      </c>
    </row>
    <row r="62" spans="1:7" x14ac:dyDescent="0.3">
      <c r="A62" s="48" t="s">
        <v>579</v>
      </c>
      <c r="B62" s="49" t="s">
        <v>580</v>
      </c>
    </row>
    <row r="63" spans="1:7" x14ac:dyDescent="0.3">
      <c r="A63" s="48" t="s">
        <v>581</v>
      </c>
      <c r="B63" s="49" t="s">
        <v>582</v>
      </c>
    </row>
    <row r="64" spans="1:7" x14ac:dyDescent="0.3">
      <c r="A64" s="48" t="s">
        <v>583</v>
      </c>
      <c r="B64" s="50">
        <v>2031</v>
      </c>
    </row>
    <row r="65" spans="1:2" x14ac:dyDescent="0.3">
      <c r="A65" s="48" t="s">
        <v>584</v>
      </c>
      <c r="B65" s="49" t="s">
        <v>585</v>
      </c>
    </row>
    <row r="66" spans="1:2" x14ac:dyDescent="0.3">
      <c r="A66" s="1" t="s">
        <v>586</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&amp;L&amp;"Calibri,Bold"04_Assumptions&amp;R&amp;P / &amp;N</oddHeader>
    <oddFooter>&amp;LInternal model — not investment advice&amp;RAs-of 2026-10-06</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563EB"/>
    <pageSetUpPr fitToPage="1"/>
  </sheetPr>
  <dimension ref="A1:I19"/>
  <sheetViews>
    <sheetView tabSelected="1" zoomScaleNormal="100" workbookViewId="0">
      <pane xSplit="1" ySplit="4" topLeftCell="B5" activePane="bottomRight" state="frozen"/>
      <selection pane="topRight"/>
      <selection pane="bottomLeft"/>
      <selection pane="bottomRight" sqref="A1:F1"/>
    </sheetView>
  </sheetViews>
  <sheetFormatPr defaultRowHeight="14.4" x14ac:dyDescent="0.3"/>
  <cols>
    <col min="1" max="1" width="44" customWidth="1"/>
    <col min="2" max="9" width="13" customWidth="1"/>
  </cols>
  <sheetData>
    <row r="1" spans="1:9" ht="22.05" customHeight="1" x14ac:dyDescent="0.4">
      <c r="A1" s="91" t="s">
        <v>587</v>
      </c>
      <c r="B1" s="91"/>
      <c r="C1" s="91"/>
      <c r="D1" s="91"/>
      <c r="E1" s="91"/>
      <c r="F1" s="91"/>
    </row>
    <row r="2" spans="1:9" x14ac:dyDescent="0.3">
      <c r="A2" s="92" t="s">
        <v>588</v>
      </c>
      <c r="B2" s="92"/>
      <c r="C2" s="92"/>
      <c r="D2" s="92"/>
      <c r="E2" s="92"/>
      <c r="F2" s="92"/>
    </row>
    <row r="3" spans="1:9" x14ac:dyDescent="0.3">
      <c r="A3" s="1" t="s">
        <v>589</v>
      </c>
    </row>
    <row r="4" spans="1:9" ht="19.95" customHeight="1" x14ac:dyDescent="0.3">
      <c r="A4" s="2" t="s">
        <v>125</v>
      </c>
      <c r="B4" s="2" t="s">
        <v>140</v>
      </c>
      <c r="C4" s="2" t="s">
        <v>189</v>
      </c>
      <c r="D4" s="2" t="s">
        <v>191</v>
      </c>
      <c r="E4" s="2" t="s">
        <v>195</v>
      </c>
      <c r="F4" s="2" t="s">
        <v>197</v>
      </c>
      <c r="G4" s="2" t="s">
        <v>211</v>
      </c>
      <c r="H4" s="2" t="s">
        <v>205</v>
      </c>
      <c r="I4" s="2" t="s">
        <v>208</v>
      </c>
    </row>
    <row r="5" spans="1:9" x14ac:dyDescent="0.3">
      <c r="A5" s="3" t="s">
        <v>590</v>
      </c>
      <c r="B5" s="32">
        <v>2500000</v>
      </c>
      <c r="C5" s="32">
        <v>4200000</v>
      </c>
      <c r="D5" s="32">
        <v>6600000</v>
      </c>
      <c r="E5" s="32">
        <v>9500000</v>
      </c>
      <c r="F5" s="32">
        <v>12200000</v>
      </c>
      <c r="G5" s="30" t="s">
        <v>428</v>
      </c>
      <c r="H5" s="32">
        <v>12500000</v>
      </c>
      <c r="I5" s="32">
        <v>12700000</v>
      </c>
    </row>
    <row r="6" spans="1:9" x14ac:dyDescent="0.3">
      <c r="A6" s="3" t="s">
        <v>591</v>
      </c>
      <c r="B6" s="32">
        <v>9600000</v>
      </c>
      <c r="C6" s="32">
        <v>16300000</v>
      </c>
      <c r="D6" s="32">
        <v>26900000</v>
      </c>
      <c r="E6" s="32">
        <v>40500000</v>
      </c>
      <c r="F6" s="32">
        <v>52700000</v>
      </c>
      <c r="G6" s="30" t="s">
        <v>428</v>
      </c>
      <c r="H6" s="32">
        <v>56500000</v>
      </c>
      <c r="I6" s="32">
        <v>58700000</v>
      </c>
    </row>
    <row r="7" spans="1:9" x14ac:dyDescent="0.3">
      <c r="A7" s="3" t="s">
        <v>592</v>
      </c>
      <c r="B7" s="32">
        <v>40500000</v>
      </c>
      <c r="C7" s="32">
        <v>60700000</v>
      </c>
      <c r="D7" s="32">
        <v>88400000</v>
      </c>
      <c r="E7" s="32">
        <v>116700000</v>
      </c>
      <c r="F7" s="32">
        <v>133100000</v>
      </c>
      <c r="G7" s="30" t="s">
        <v>428</v>
      </c>
      <c r="H7" s="30" t="s">
        <v>428</v>
      </c>
      <c r="I7" s="30" t="s">
        <v>428</v>
      </c>
    </row>
    <row r="9" spans="1:9" x14ac:dyDescent="0.3">
      <c r="A9" s="3" t="s">
        <v>593</v>
      </c>
      <c r="B9" s="51">
        <f>IFERROR(B5/B7,"")</f>
        <v>6.1728395061728392E-2</v>
      </c>
      <c r="C9" s="51">
        <f>IFERROR(C5/C7,"")</f>
        <v>6.919275123558484E-2</v>
      </c>
      <c r="D9" s="51">
        <f>IFERROR(D5/D7,"")</f>
        <v>7.4660633484162894E-2</v>
      </c>
      <c r="E9" s="51">
        <f>IFERROR(E5/E7,"")</f>
        <v>8.1405312767780638E-2</v>
      </c>
      <c r="F9" s="51">
        <f>IFERROR(F5/F7,"")</f>
        <v>9.1660405709992482E-2</v>
      </c>
      <c r="G9" s="30" t="s">
        <v>428</v>
      </c>
      <c r="H9" s="30" t="s">
        <v>428</v>
      </c>
      <c r="I9" s="30" t="s">
        <v>428</v>
      </c>
    </row>
    <row r="10" spans="1:9" x14ac:dyDescent="0.3">
      <c r="A10" s="3" t="s">
        <v>594</v>
      </c>
      <c r="B10" s="51">
        <f>IFERROR(B6/B7,"")</f>
        <v>0.23703703703703705</v>
      </c>
      <c r="C10" s="51">
        <f>IFERROR(C6/C7,"")</f>
        <v>0.26853377265238881</v>
      </c>
      <c r="D10" s="51">
        <f>IFERROR(D6/D7,"")</f>
        <v>0.30429864253393663</v>
      </c>
      <c r="E10" s="51">
        <f>IFERROR(E6/E7,"")</f>
        <v>0.34704370179948585</v>
      </c>
      <c r="F10" s="51">
        <f>IFERROR(F6/F7,"")</f>
        <v>0.3959429000751315</v>
      </c>
      <c r="G10" s="30" t="s">
        <v>428</v>
      </c>
      <c r="H10" s="30" t="s">
        <v>428</v>
      </c>
      <c r="I10" s="30" t="s">
        <v>428</v>
      </c>
    </row>
    <row r="12" spans="1:9" ht="19.95" customHeight="1" x14ac:dyDescent="0.3">
      <c r="A12" s="2" t="s">
        <v>595</v>
      </c>
      <c r="B12" s="2" t="s">
        <v>76</v>
      </c>
      <c r="C12" s="2" t="s">
        <v>596</v>
      </c>
      <c r="D12" s="2" t="s">
        <v>597</v>
      </c>
      <c r="E12" s="2" t="s">
        <v>598</v>
      </c>
      <c r="F12" s="2" t="s">
        <v>576</v>
      </c>
    </row>
    <row r="13" spans="1:9" x14ac:dyDescent="0.3">
      <c r="A13" s="3" t="s">
        <v>599</v>
      </c>
      <c r="B13" s="32">
        <v>12200000</v>
      </c>
      <c r="C13" s="37">
        <f>B14</f>
        <v>13818679.691272968</v>
      </c>
      <c r="D13" s="37">
        <f>C14</f>
        <v>16360335.628209114</v>
      </c>
      <c r="E13" s="37">
        <f>D14</f>
        <v>19369475.79996999</v>
      </c>
      <c r="F13" s="37">
        <f>E14</f>
        <v>22932084.114382669</v>
      </c>
    </row>
    <row r="14" spans="1:9" x14ac:dyDescent="0.3">
      <c r="A14" s="3" t="s">
        <v>600</v>
      </c>
      <c r="B14" s="32">
        <v>13818679.691272968</v>
      </c>
      <c r="C14" s="32">
        <v>16360335.628209114</v>
      </c>
      <c r="D14" s="32">
        <v>19369475.79996999</v>
      </c>
      <c r="E14" s="32">
        <v>22932084.114382669</v>
      </c>
      <c r="F14" s="32">
        <v>27149959.413456958</v>
      </c>
    </row>
    <row r="15" spans="1:9" x14ac:dyDescent="0.3">
      <c r="A15" s="3" t="s">
        <v>601</v>
      </c>
      <c r="B15" s="32">
        <v>12854669.922818242</v>
      </c>
      <c r="C15" s="32">
        <v>15089507.65974104</v>
      </c>
      <c r="D15" s="32">
        <v>17864905.71408955</v>
      </c>
      <c r="E15" s="32">
        <v>21150779.957176328</v>
      </c>
      <c r="F15" s="32">
        <v>25041021.763919815</v>
      </c>
    </row>
    <row r="16" spans="1:9" x14ac:dyDescent="0.3">
      <c r="A16" s="3" t="s">
        <v>602</v>
      </c>
      <c r="B16" s="51">
        <f>B14/B13-1</f>
        <v>0.13267866321909572</v>
      </c>
      <c r="C16" s="51">
        <f>C14/B14-1</f>
        <v>0.18392900000000001</v>
      </c>
      <c r="D16" s="51">
        <f>D14/C14-1</f>
        <v>0.18392900000000001</v>
      </c>
      <c r="E16" s="51">
        <f>E14/D14-1</f>
        <v>0.18392900000000001</v>
      </c>
      <c r="F16" s="51">
        <f>F14/E14-1</f>
        <v>0.18392900000000001</v>
      </c>
    </row>
    <row r="17" spans="1:6" x14ac:dyDescent="0.3">
      <c r="A17" s="3" t="s">
        <v>603</v>
      </c>
      <c r="B17" s="51">
        <f>IFERROR(F5/F7,"")</f>
        <v>9.1660405709992482E-2</v>
      </c>
      <c r="C17" s="51">
        <f>IFERROR(F5/F7,"")</f>
        <v>9.1660405709992482E-2</v>
      </c>
      <c r="D17" s="51">
        <f>IFERROR(F5/F7,"")</f>
        <v>9.1660405709992482E-2</v>
      </c>
      <c r="E17" s="51">
        <f>IFERROR(F5/F7,"")</f>
        <v>9.1660405709992482E-2</v>
      </c>
      <c r="F17" s="51">
        <f>IFERROR(F5/F7,"")</f>
        <v>9.1660405709992482E-2</v>
      </c>
    </row>
    <row r="18" spans="1:6" x14ac:dyDescent="0.3">
      <c r="A18" s="3" t="s">
        <v>604</v>
      </c>
      <c r="B18" s="51">
        <f>IFERROR(F6/F7,"")</f>
        <v>0.3959429000751315</v>
      </c>
      <c r="C18" s="51">
        <f>IFERROR(F6/F7,"")</f>
        <v>0.3959429000751315</v>
      </c>
      <c r="D18" s="51">
        <f>IFERROR(F6/F7,"")</f>
        <v>0.3959429000751315</v>
      </c>
      <c r="E18" s="51">
        <f>IFERROR(F6/F7,"")</f>
        <v>0.3959429000751315</v>
      </c>
      <c r="F18" s="51">
        <f>IFERROR(F6/F7,"")</f>
        <v>0.3959429000751315</v>
      </c>
    </row>
    <row r="19" spans="1:6" x14ac:dyDescent="0.3">
      <c r="A19" s="3" t="s">
        <v>605</v>
      </c>
      <c r="B19" s="51">
        <f>IFERROR(I5/I6,"")</f>
        <v>0.21635434412265758</v>
      </c>
      <c r="C19" s="51">
        <f>IFERROR(I5/I6,"")</f>
        <v>0.21635434412265758</v>
      </c>
      <c r="D19" s="51">
        <f>IFERROR(I5/I6,"")</f>
        <v>0.21635434412265758</v>
      </c>
      <c r="E19" s="51">
        <f>IFERROR(I5/I6,"")</f>
        <v>0.21635434412265758</v>
      </c>
      <c r="F19" s="51">
        <f>IFERROR(I5/I6,"")</f>
        <v>0.21635434412265758</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&amp;L&amp;"Calibri,Bold"05_User_Model&amp;R&amp;P / &amp;N</oddHeader>
    <oddFooter>&amp;LInternal model — not investment advice&amp;RAs-of 2026-10-06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pageSetUpPr fitToPage="1"/>
  </sheetPr>
  <dimension ref="A1:F53"/>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606</v>
      </c>
      <c r="B1" s="91"/>
      <c r="C1" s="91"/>
      <c r="D1" s="91"/>
      <c r="E1" s="91"/>
      <c r="F1" s="91"/>
    </row>
    <row r="2" spans="1:6" x14ac:dyDescent="0.3">
      <c r="A2" s="92" t="s">
        <v>607</v>
      </c>
      <c r="B2" s="92"/>
      <c r="C2" s="92"/>
      <c r="D2" s="92"/>
      <c r="E2" s="92"/>
      <c r="F2" s="92"/>
    </row>
    <row r="3" spans="1:6" x14ac:dyDescent="0.3">
      <c r="A3" s="1" t="s">
        <v>608</v>
      </c>
    </row>
    <row r="4" spans="1:6" ht="19.95" customHeight="1" x14ac:dyDescent="0.3">
      <c r="A4" s="2" t="s">
        <v>609</v>
      </c>
      <c r="B4" s="2" t="s">
        <v>76</v>
      </c>
      <c r="C4" s="2" t="s">
        <v>596</v>
      </c>
      <c r="D4" s="2" t="s">
        <v>597</v>
      </c>
      <c r="E4" s="2" t="s">
        <v>598</v>
      </c>
      <c r="F4" s="2" t="s">
        <v>576</v>
      </c>
    </row>
    <row r="5" spans="1:6" x14ac:dyDescent="0.3">
      <c r="A5" s="33" t="s">
        <v>610</v>
      </c>
      <c r="B5" s="18">
        <v>508943</v>
      </c>
    </row>
    <row r="6" spans="1:6" x14ac:dyDescent="0.3">
      <c r="A6" s="33" t="s">
        <v>611</v>
      </c>
      <c r="B6" s="18">
        <v>522134.23308105289</v>
      </c>
    </row>
    <row r="7" spans="1:6" x14ac:dyDescent="0.3">
      <c r="A7" s="33" t="s">
        <v>612</v>
      </c>
      <c r="B7" s="41">
        <v>0.17811689643419704</v>
      </c>
    </row>
    <row r="8" spans="1:6" x14ac:dyDescent="0.3">
      <c r="A8" s="38" t="s">
        <v>139</v>
      </c>
      <c r="B8" s="35">
        <f>B5+B6</f>
        <v>1031077.2330810529</v>
      </c>
      <c r="C8" s="35">
        <f>B8*(1+B7)</f>
        <v>1214729.5098214091</v>
      </c>
      <c r="D8" s="35">
        <f>C8*(1+Assumption_paid_subscriber_growth)</f>
        <v>1438153.4938333512</v>
      </c>
      <c r="E8" s="35">
        <f>D8*(1+Assumption_paid_subscriber_growth)</f>
        <v>1702671.6278006257</v>
      </c>
      <c r="F8" s="35">
        <f>E8*(1+Assumption_paid_subscriber_growth)</f>
        <v>2015842.3176303671</v>
      </c>
    </row>
    <row r="9" spans="1:6" x14ac:dyDescent="0.3">
      <c r="A9" s="33" t="s">
        <v>613</v>
      </c>
      <c r="B9" s="18">
        <v>1031077.2330810529</v>
      </c>
      <c r="C9" s="18">
        <v>1214729.5098214091</v>
      </c>
      <c r="D9" s="18">
        <v>1438153.4938333514</v>
      </c>
      <c r="E9" s="18">
        <v>1702671.6278006257</v>
      </c>
      <c r="F9" s="18">
        <v>2015842.3176303674</v>
      </c>
    </row>
    <row r="10" spans="1:6" x14ac:dyDescent="0.3">
      <c r="A10" s="33" t="s">
        <v>614</v>
      </c>
      <c r="B10" s="37">
        <f>ROUND(B8-B9,0)</f>
        <v>0</v>
      </c>
      <c r="C10" s="37">
        <f>ROUND(C8-C9,0)</f>
        <v>0</v>
      </c>
      <c r="D10" s="37">
        <f>ROUND(D8-D9,0)</f>
        <v>0</v>
      </c>
      <c r="E10" s="37">
        <f>ROUND(E8-E9,0)</f>
        <v>0</v>
      </c>
      <c r="F10" s="37">
        <f>ROUND(F8-F9,0)</f>
        <v>0</v>
      </c>
    </row>
    <row r="12" spans="1:6" x14ac:dyDescent="0.3">
      <c r="A12" s="33" t="s">
        <v>610</v>
      </c>
      <c r="B12" s="18">
        <v>41666</v>
      </c>
    </row>
    <row r="13" spans="1:6" x14ac:dyDescent="0.3">
      <c r="A13" s="33" t="s">
        <v>611</v>
      </c>
      <c r="B13" s="18">
        <v>43157.374800000005</v>
      </c>
    </row>
    <row r="14" spans="1:6" x14ac:dyDescent="0.3">
      <c r="A14" s="33" t="s">
        <v>612</v>
      </c>
      <c r="B14" s="41">
        <v>0.10169138829097379</v>
      </c>
    </row>
    <row r="15" spans="1:6" x14ac:dyDescent="0.3">
      <c r="A15" s="38" t="s">
        <v>615</v>
      </c>
      <c r="B15" s="35">
        <f>B12+B13</f>
        <v>84823.374800000005</v>
      </c>
      <c r="C15" s="35">
        <f>B15*(1+B14)</f>
        <v>93449.1815429376</v>
      </c>
      <c r="D15" s="35">
        <f>C15*(1+Assumption_advertising_revenue_growth)</f>
        <v>101173.31709255066</v>
      </c>
      <c r="E15" s="35">
        <f>D15*(1+Assumption_advertising_revenue_growth)</f>
        <v>109535.89879015253</v>
      </c>
      <c r="F15" s="35">
        <f>E15*(1+Assumption_advertising_revenue_growth)</f>
        <v>118589.69804055138</v>
      </c>
    </row>
    <row r="16" spans="1:6" x14ac:dyDescent="0.3">
      <c r="A16" s="33" t="s">
        <v>613</v>
      </c>
      <c r="B16" s="18">
        <v>84823.374800000005</v>
      </c>
      <c r="C16" s="18">
        <v>93449.181542937615</v>
      </c>
      <c r="D16" s="18">
        <v>101173.31709255067</v>
      </c>
      <c r="E16" s="18">
        <v>109535.89879015254</v>
      </c>
      <c r="F16" s="18">
        <v>118589.6980405514</v>
      </c>
    </row>
    <row r="17" spans="1:6" x14ac:dyDescent="0.3">
      <c r="A17" s="33" t="s">
        <v>614</v>
      </c>
      <c r="B17" s="37">
        <f>ROUND(B15-B16,0)</f>
        <v>0</v>
      </c>
      <c r="C17" s="37">
        <f>ROUND(C15-C16,0)</f>
        <v>0</v>
      </c>
      <c r="D17" s="37">
        <f>ROUND(D15-D16,0)</f>
        <v>0</v>
      </c>
      <c r="E17" s="37">
        <f>ROUND(E15-E16,0)</f>
        <v>0</v>
      </c>
      <c r="F17" s="37">
        <f>ROUND(F15-F16,0)</f>
        <v>0</v>
      </c>
    </row>
    <row r="19" spans="1:6" x14ac:dyDescent="0.3">
      <c r="A19" s="33" t="s">
        <v>610</v>
      </c>
      <c r="B19" s="18">
        <v>21426</v>
      </c>
    </row>
    <row r="20" spans="1:6" x14ac:dyDescent="0.3">
      <c r="A20" s="33" t="s">
        <v>611</v>
      </c>
      <c r="B20" s="18">
        <v>20386.435932</v>
      </c>
    </row>
    <row r="21" spans="1:6" x14ac:dyDescent="0.3">
      <c r="A21" s="33" t="s">
        <v>612</v>
      </c>
      <c r="B21" s="41">
        <v>-5.348869169155368E-2</v>
      </c>
    </row>
    <row r="22" spans="1:6" x14ac:dyDescent="0.3">
      <c r="A22" s="38" t="s">
        <v>616</v>
      </c>
      <c r="B22" s="35">
        <f>B19+B20</f>
        <v>41812.435932</v>
      </c>
      <c r="C22" s="35">
        <f>B22*(1+B21)</f>
        <v>39575.943437560411</v>
      </c>
      <c r="D22" s="35">
        <f>C22*(1+Assumption_det_revenue_growth)</f>
        <v>38414.152042007387</v>
      </c>
      <c r="E22" s="35">
        <f>D22*(1+Assumption_det_revenue_growth)</f>
        <v>37286.466194662215</v>
      </c>
      <c r="F22" s="35">
        <f>E22*(1+Assumption_det_revenue_growth)</f>
        <v>36191.88469305171</v>
      </c>
    </row>
    <row r="23" spans="1:6" x14ac:dyDescent="0.3">
      <c r="A23" s="33" t="s">
        <v>613</v>
      </c>
      <c r="B23" s="18">
        <v>41812.435932</v>
      </c>
      <c r="C23" s="18">
        <v>39575.943437560411</v>
      </c>
      <c r="D23" s="18">
        <v>38414.152042007387</v>
      </c>
      <c r="E23" s="18">
        <v>37286.466194662215</v>
      </c>
      <c r="F23" s="18">
        <v>36191.88469305171</v>
      </c>
    </row>
    <row r="24" spans="1:6" x14ac:dyDescent="0.3">
      <c r="A24" s="33" t="s">
        <v>614</v>
      </c>
      <c r="B24" s="37">
        <f>ROUND(B22-B23,0)</f>
        <v>0</v>
      </c>
      <c r="C24" s="37">
        <f>ROUND(C22-C23,0)</f>
        <v>0</v>
      </c>
      <c r="D24" s="37">
        <f>ROUND(D22-D23,0)</f>
        <v>0</v>
      </c>
      <c r="E24" s="37">
        <f>ROUND(E22-E23,0)</f>
        <v>0</v>
      </c>
      <c r="F24" s="37">
        <f>ROUND(F22-F23,0)</f>
        <v>0</v>
      </c>
    </row>
    <row r="26" spans="1:6" x14ac:dyDescent="0.3">
      <c r="A26" s="33" t="s">
        <v>610</v>
      </c>
      <c r="B26" s="18">
        <v>16448</v>
      </c>
    </row>
    <row r="27" spans="1:6" x14ac:dyDescent="0.3">
      <c r="A27" s="33" t="s">
        <v>611</v>
      </c>
      <c r="B27" s="18">
        <v>16785.973396499998</v>
      </c>
    </row>
    <row r="28" spans="1:6" x14ac:dyDescent="0.3">
      <c r="A28" s="33" t="s">
        <v>612</v>
      </c>
      <c r="B28" s="41">
        <v>-0.16219873971487464</v>
      </c>
    </row>
    <row r="29" spans="1:6" x14ac:dyDescent="0.3">
      <c r="A29" s="38" t="s">
        <v>617</v>
      </c>
      <c r="B29" s="35">
        <f>B26+B27</f>
        <v>33233.973396499998</v>
      </c>
      <c r="C29" s="35">
        <f>B29*(1+B28)</f>
        <v>27843.464795870026</v>
      </c>
      <c r="D29" s="35">
        <f>C29*(1+Assumption_iap_revenue_growth)</f>
        <v>23092.450867356336</v>
      </c>
      <c r="E29" s="35">
        <f>D29*(1+Assumption_iap_revenue_growth)</f>
        <v>19152.116698506721</v>
      </c>
      <c r="F29" s="35">
        <f>E29*(1+Assumption_iap_revenue_growth)</f>
        <v>15884.133569890424</v>
      </c>
    </row>
    <row r="30" spans="1:6" x14ac:dyDescent="0.3">
      <c r="A30" s="33" t="s">
        <v>613</v>
      </c>
      <c r="B30" s="18">
        <v>33233.973396499998</v>
      </c>
      <c r="C30" s="18">
        <v>27843.464795870026</v>
      </c>
      <c r="D30" s="18">
        <v>23092.450867356336</v>
      </c>
      <c r="E30" s="18">
        <v>19152.116698506721</v>
      </c>
      <c r="F30" s="18">
        <v>15884.133569890424</v>
      </c>
    </row>
    <row r="31" spans="1:6" x14ac:dyDescent="0.3">
      <c r="A31" s="33" t="s">
        <v>614</v>
      </c>
      <c r="B31" s="37">
        <f>ROUND(B29-B30,0)</f>
        <v>0</v>
      </c>
      <c r="C31" s="37">
        <f>ROUND(C29-C30,0)</f>
        <v>0</v>
      </c>
      <c r="D31" s="37">
        <f>ROUND(D29-D30,0)</f>
        <v>0</v>
      </c>
      <c r="E31" s="37">
        <f>ROUND(E29-E30,0)</f>
        <v>0</v>
      </c>
      <c r="F31" s="37">
        <f>ROUND(F29-F30,0)</f>
        <v>0</v>
      </c>
    </row>
    <row r="33" spans="1:6" x14ac:dyDescent="0.3">
      <c r="A33" s="33" t="s">
        <v>610</v>
      </c>
      <c r="B33" s="18">
        <v>1938</v>
      </c>
    </row>
    <row r="34" spans="1:6" x14ac:dyDescent="0.3">
      <c r="A34" s="33" t="s">
        <v>611</v>
      </c>
      <c r="B34" s="18">
        <v>968.5</v>
      </c>
    </row>
    <row r="35" spans="1:6" x14ac:dyDescent="0.3">
      <c r="A35" s="33" t="s">
        <v>612</v>
      </c>
      <c r="B35" s="41">
        <v>-0.33356270428350254</v>
      </c>
    </row>
    <row r="36" spans="1:6" x14ac:dyDescent="0.3">
      <c r="A36" s="38" t="s">
        <v>155</v>
      </c>
      <c r="B36" s="35">
        <f>B33+B34</f>
        <v>2906.5</v>
      </c>
      <c r="C36" s="35">
        <f>B36*(1+B35)</f>
        <v>1936.9999999999998</v>
      </c>
      <c r="D36" s="35">
        <f>C36*(1+Assumption_other_revenue_growth)</f>
        <v>1936.9999999999998</v>
      </c>
      <c r="E36" s="35">
        <f>D36*(1+Assumption_other_revenue_growth)</f>
        <v>1936.9999999999998</v>
      </c>
      <c r="F36" s="35">
        <f>E36*(1+Assumption_other_revenue_growth)</f>
        <v>1936.9999999999998</v>
      </c>
    </row>
    <row r="37" spans="1:6" x14ac:dyDescent="0.3">
      <c r="A37" s="33" t="s">
        <v>613</v>
      </c>
      <c r="B37" s="18">
        <v>2906.5</v>
      </c>
      <c r="C37" s="18">
        <v>1937</v>
      </c>
      <c r="D37" s="18">
        <v>1937</v>
      </c>
      <c r="E37" s="18">
        <v>1937</v>
      </c>
      <c r="F37" s="18">
        <v>1937</v>
      </c>
    </row>
    <row r="38" spans="1:6" x14ac:dyDescent="0.3">
      <c r="A38" s="33" t="s">
        <v>614</v>
      </c>
      <c r="B38" s="37">
        <f>ROUND(B36-B37,0)</f>
        <v>0</v>
      </c>
      <c r="C38" s="37">
        <f>ROUND(C36-C37,0)</f>
        <v>0</v>
      </c>
      <c r="D38" s="37">
        <f>ROUND(D36-D37,0)</f>
        <v>0</v>
      </c>
      <c r="E38" s="37">
        <f>ROUND(E36-E37,0)</f>
        <v>0</v>
      </c>
      <c r="F38" s="37">
        <f>ROUND(F36-F37,0)</f>
        <v>0</v>
      </c>
    </row>
    <row r="40" spans="1:6" x14ac:dyDescent="0.3">
      <c r="A40" s="38" t="s">
        <v>618</v>
      </c>
      <c r="B40" s="35">
        <f>B8+B15+B22+B29+B36</f>
        <v>1193853.5172095529</v>
      </c>
      <c r="C40" s="35">
        <f>C8+C15+C22+C29+C36</f>
        <v>1377535.0995977772</v>
      </c>
      <c r="D40" s="35">
        <f>D8+D15+D22+D29+D36</f>
        <v>1602770.4138352654</v>
      </c>
      <c r="E40" s="35">
        <f>E8+E15+E22+E29+E36</f>
        <v>1870583.1094839473</v>
      </c>
      <c r="F40" s="35">
        <f>F8+F15+F22+F29+F36</f>
        <v>2188445.0339338607</v>
      </c>
    </row>
    <row r="42" spans="1:6" ht="19.95" customHeight="1" x14ac:dyDescent="0.3">
      <c r="A42" s="11" t="s">
        <v>619</v>
      </c>
      <c r="B42" s="11" t="s">
        <v>76</v>
      </c>
      <c r="C42" s="11" t="s">
        <v>596</v>
      </c>
      <c r="D42" s="11" t="s">
        <v>597</v>
      </c>
      <c r="E42" s="11" t="s">
        <v>598</v>
      </c>
      <c r="F42" s="11" t="s">
        <v>576</v>
      </c>
    </row>
    <row r="43" spans="1:6" x14ac:dyDescent="0.3">
      <c r="A43" s="3" t="s">
        <v>620</v>
      </c>
      <c r="B43" s="18">
        <v>496205</v>
      </c>
      <c r="C43" s="36">
        <f>B46</f>
        <v>570900.75192960817</v>
      </c>
      <c r="D43" s="36">
        <f>C46</f>
        <v>658737.28462765715</v>
      </c>
      <c r="E43" s="36">
        <f>D46</f>
        <v>766444.81189602392</v>
      </c>
      <c r="F43" s="36">
        <f>E46</f>
        <v>894512.84295522363</v>
      </c>
    </row>
    <row r="44" spans="1:6" x14ac:dyDescent="0.3">
      <c r="A44" s="3" t="s">
        <v>621</v>
      </c>
      <c r="B44" s="36">
        <f t="shared" ref="B44:F45" si="0">B51</f>
        <v>1105772.9850106612</v>
      </c>
      <c r="C44" s="36">
        <f t="shared" si="0"/>
        <v>1302566.0425194581</v>
      </c>
      <c r="D44" s="36">
        <f t="shared" si="0"/>
        <v>1545861.0211017178</v>
      </c>
      <c r="E44" s="36">
        <f t="shared" si="0"/>
        <v>1830739.6588598255</v>
      </c>
      <c r="F44" s="36">
        <f t="shared" si="0"/>
        <v>2167843.8899023156</v>
      </c>
    </row>
    <row r="45" spans="1:6" x14ac:dyDescent="0.3">
      <c r="A45" s="3" t="s">
        <v>622</v>
      </c>
      <c r="B45" s="36">
        <f t="shared" si="0"/>
        <v>1031077.2330810529</v>
      </c>
      <c r="C45" s="36">
        <f t="shared" si="0"/>
        <v>1214729.5098214091</v>
      </c>
      <c r="D45" s="36">
        <f t="shared" si="0"/>
        <v>1438153.4938333512</v>
      </c>
      <c r="E45" s="36">
        <f t="shared" si="0"/>
        <v>1702671.6278006257</v>
      </c>
      <c r="F45" s="36">
        <f t="shared" si="0"/>
        <v>2015842.3176303671</v>
      </c>
    </row>
    <row r="46" spans="1:6" x14ac:dyDescent="0.3">
      <c r="A46" s="38" t="s">
        <v>623</v>
      </c>
      <c r="B46" s="35">
        <f>Assumption_deferred_revenue_pct_revenue*B40</f>
        <v>570900.75192960817</v>
      </c>
      <c r="C46" s="35">
        <f>Assumption_deferred_revenue_pct_revenue*C40</f>
        <v>658737.28462765715</v>
      </c>
      <c r="D46" s="35">
        <f>Assumption_deferred_revenue_pct_revenue*D40</f>
        <v>766444.81189602392</v>
      </c>
      <c r="E46" s="35">
        <f>Assumption_deferred_revenue_pct_revenue*E40</f>
        <v>894512.84295522363</v>
      </c>
      <c r="F46" s="35">
        <f>Assumption_deferred_revenue_pct_revenue*F40</f>
        <v>1046514.4152271722</v>
      </c>
    </row>
    <row r="47" spans="1:6" x14ac:dyDescent="0.3">
      <c r="A47" s="38" t="s">
        <v>624</v>
      </c>
      <c r="B47" s="35">
        <f>B43+B44-B45</f>
        <v>570900.75192960829</v>
      </c>
      <c r="C47" s="35">
        <f>C43+C44-C45</f>
        <v>658737.28462765715</v>
      </c>
      <c r="D47" s="35">
        <f>D43+D44-D45</f>
        <v>766444.81189602404</v>
      </c>
      <c r="E47" s="35">
        <f>E43+E44-E45</f>
        <v>894512.84295522375</v>
      </c>
      <c r="F47" s="35">
        <f>F43+F44-F45</f>
        <v>1046514.4152271722</v>
      </c>
    </row>
    <row r="48" spans="1:6" x14ac:dyDescent="0.3">
      <c r="A48" s="38" t="s">
        <v>625</v>
      </c>
      <c r="B48" s="52" t="str">
        <f>IF(ABS(B47-B46)&lt;=Tolerance_USD,"OK","BREAK")</f>
        <v>OK</v>
      </c>
      <c r="C48" s="52" t="str">
        <f>IF(ABS(C47-C46)&lt;=Tolerance_USD,"OK","BREAK")</f>
        <v>OK</v>
      </c>
      <c r="D48" s="52" t="str">
        <f>IF(ABS(D47-D46)&lt;=Tolerance_USD,"OK","BREAK")</f>
        <v>OK</v>
      </c>
      <c r="E48" s="52" t="str">
        <f>IF(ABS(E47-E46)&lt;=Tolerance_USD,"OK","BREAK")</f>
        <v>OK</v>
      </c>
      <c r="F48" s="52" t="str">
        <f>IF(ABS(F47-F46)&lt;=Tolerance_USD,"OK","BREAK")</f>
        <v>OK</v>
      </c>
    </row>
    <row r="49" spans="1:6" x14ac:dyDescent="0.3">
      <c r="A49" s="33" t="s">
        <v>626</v>
      </c>
      <c r="B49" s="37">
        <f>ROUND(B46-(Assumption_deferred_revenue_pct_revenue*B40),0)</f>
        <v>0</v>
      </c>
      <c r="C49" s="37">
        <f>ROUND(C46-(Assumption_deferred_revenue_pct_revenue*C40),0)</f>
        <v>0</v>
      </c>
      <c r="D49" s="37">
        <f>ROUND(D46-(Assumption_deferred_revenue_pct_revenue*D40),0)</f>
        <v>0</v>
      </c>
      <c r="E49" s="37">
        <f>ROUND(E46-(Assumption_deferred_revenue_pct_revenue*E40),0)</f>
        <v>0</v>
      </c>
      <c r="F49" s="37">
        <f>ROUND(F46-(Assumption_deferred_revenue_pct_revenue*F40),0)</f>
        <v>0</v>
      </c>
    </row>
    <row r="50" spans="1:6" ht="19.95" customHeight="1" x14ac:dyDescent="0.3">
      <c r="A50" s="11" t="s">
        <v>627</v>
      </c>
      <c r="B50" s="11" t="s">
        <v>76</v>
      </c>
      <c r="C50" s="11" t="s">
        <v>596</v>
      </c>
      <c r="D50" s="11" t="s">
        <v>597</v>
      </c>
      <c r="E50" s="11" t="s">
        <v>598</v>
      </c>
      <c r="F50" s="11" t="s">
        <v>576</v>
      </c>
    </row>
    <row r="51" spans="1:6" x14ac:dyDescent="0.3">
      <c r="A51" s="3" t="s">
        <v>628</v>
      </c>
      <c r="B51" s="36">
        <f>B8+(B46-B43)</f>
        <v>1105772.9850106612</v>
      </c>
      <c r="C51" s="36">
        <f>C8+(C46-B46)</f>
        <v>1302566.0425194581</v>
      </c>
      <c r="D51" s="36">
        <f>D8+(D46-C46)</f>
        <v>1545861.0211017178</v>
      </c>
      <c r="E51" s="36">
        <f>E8+(E46-D46)</f>
        <v>1830739.6588598255</v>
      </c>
      <c r="F51" s="36">
        <f>F8+(F46-E46)</f>
        <v>2167843.8899023156</v>
      </c>
    </row>
    <row r="52" spans="1:6" x14ac:dyDescent="0.3">
      <c r="A52" s="3" t="s">
        <v>629</v>
      </c>
      <c r="B52" s="36">
        <f>B8</f>
        <v>1031077.2330810529</v>
      </c>
      <c r="C52" s="36">
        <f>C8</f>
        <v>1214729.5098214091</v>
      </c>
      <c r="D52" s="36">
        <f>D8</f>
        <v>1438153.4938333512</v>
      </c>
      <c r="E52" s="36">
        <f>E8</f>
        <v>1702671.6278006257</v>
      </c>
      <c r="F52" s="36">
        <f>F8</f>
        <v>2015842.3176303671</v>
      </c>
    </row>
    <row r="53" spans="1:6" x14ac:dyDescent="0.3">
      <c r="A53" s="3" t="s">
        <v>630</v>
      </c>
      <c r="B53" s="36">
        <f>B46-B43</f>
        <v>74695.751929608174</v>
      </c>
      <c r="C53" s="36">
        <f>C46-B46</f>
        <v>87836.532698048977</v>
      </c>
      <c r="D53" s="36">
        <f>D46-C46</f>
        <v>107707.52726836677</v>
      </c>
      <c r="E53" s="36">
        <f>E46-D46</f>
        <v>128068.03105919971</v>
      </c>
      <c r="F53" s="36">
        <f>F46-E46</f>
        <v>152001.57227194856</v>
      </c>
    </row>
  </sheetData>
  <sheetProtection sheet="1" formatCells="0" formatColumns="0" formatRows="0" insertRows="0" deleteRows="0" sort="0" autoFilter="0"/>
  <mergeCells count="2">
    <mergeCell ref="A1:F1"/>
    <mergeCell ref="A2:F2"/>
  </mergeCells>
  <conditionalFormatting sqref="B48:F48">
    <cfRule type="expression" dxfId="77" priority="1">
      <formula>B48="OK"</formula>
    </cfRule>
    <cfRule type="expression" dxfId="76" priority="2">
      <formula>B48="BREAK"</formula>
    </cfRule>
  </conditionalFormatting>
  <pageMargins left="0.7" right="0.7" top="0.75" bottom="0.75" header="0.3" footer="0.3"/>
  <pageSetup fitToHeight="0" orientation="landscape" useFirstPageNumber="1" horizontalDpi="4294967295" verticalDpi="4294967295"/>
  <headerFooter>
    <oddHeader>&amp;L&amp;"Calibri,Bold"06_Revenue_Bookings&amp;R&amp;P / &amp;N</oddHeader>
    <oddFooter>&amp;LInternal model — not investment advice&amp;RAs-of 2026-10-06</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pageSetUpPr fitToPage="1"/>
  </sheetPr>
  <dimension ref="A1:F29"/>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631</v>
      </c>
      <c r="B1" s="91"/>
      <c r="C1" s="91"/>
      <c r="D1" s="91"/>
      <c r="E1" s="91"/>
      <c r="F1" s="91"/>
    </row>
    <row r="2" spans="1:6" x14ac:dyDescent="0.3">
      <c r="A2" s="92" t="s">
        <v>632</v>
      </c>
      <c r="B2" s="92"/>
      <c r="C2" s="92"/>
      <c r="D2" s="92"/>
      <c r="E2" s="92"/>
      <c r="F2" s="92"/>
    </row>
    <row r="3" spans="1:6" x14ac:dyDescent="0.3">
      <c r="A3" s="1" t="s">
        <v>633</v>
      </c>
    </row>
    <row r="4" spans="1:6" ht="19.95" customHeight="1" x14ac:dyDescent="0.3">
      <c r="A4" s="2" t="s">
        <v>634</v>
      </c>
      <c r="B4" s="2" t="s">
        <v>76</v>
      </c>
      <c r="C4" s="2" t="s">
        <v>596</v>
      </c>
      <c r="D4" s="2" t="s">
        <v>597</v>
      </c>
      <c r="E4" s="2" t="s">
        <v>598</v>
      </c>
      <c r="F4" s="2" t="s">
        <v>576</v>
      </c>
    </row>
    <row r="5" spans="1:6" ht="19.95" customHeight="1" x14ac:dyDescent="0.3">
      <c r="A5" s="11" t="s">
        <v>635</v>
      </c>
      <c r="B5" s="11" t="s">
        <v>76</v>
      </c>
      <c r="C5" s="11" t="s">
        <v>596</v>
      </c>
      <c r="D5" s="11" t="s">
        <v>597</v>
      </c>
      <c r="E5" s="11" t="s">
        <v>598</v>
      </c>
      <c r="F5" s="11" t="s">
        <v>576</v>
      </c>
    </row>
    <row r="6" spans="1:6" x14ac:dyDescent="0.3">
      <c r="A6" s="33" t="s">
        <v>636</v>
      </c>
      <c r="B6" s="18">
        <v>160585</v>
      </c>
    </row>
    <row r="7" spans="1:6" x14ac:dyDescent="0.3">
      <c r="A7" s="33" t="s">
        <v>637</v>
      </c>
      <c r="B7" s="18">
        <v>175169</v>
      </c>
    </row>
    <row r="8" spans="1:6" x14ac:dyDescent="0.3">
      <c r="A8" s="33" t="s">
        <v>638</v>
      </c>
      <c r="B8" s="18">
        <v>79256</v>
      </c>
    </row>
    <row r="9" spans="1:6" x14ac:dyDescent="0.3">
      <c r="A9" s="33" t="s">
        <v>639</v>
      </c>
      <c r="B9" s="18">
        <v>96939</v>
      </c>
    </row>
    <row r="10" spans="1:6" x14ac:dyDescent="0.3">
      <c r="A10" s="33" t="s">
        <v>640</v>
      </c>
      <c r="B10" s="18">
        <v>-1196</v>
      </c>
    </row>
    <row r="11" spans="1:6" x14ac:dyDescent="0.3">
      <c r="A11" s="33" t="s">
        <v>641</v>
      </c>
      <c r="B11" s="18">
        <v>590421</v>
      </c>
    </row>
    <row r="13" spans="1:6" x14ac:dyDescent="0.3">
      <c r="A13" s="3" t="s">
        <v>642</v>
      </c>
      <c r="B13" s="36">
        <f>B6+Assumption_cost_of_revenue_pct_revenue*(RevTotal_FY2026-B11)</f>
        <v>328154.5894339896</v>
      </c>
      <c r="C13" s="36">
        <f>Assumption_cost_of_revenue_pct_revenue*RevTotal_FY2027</f>
        <v>382533.23194770515</v>
      </c>
      <c r="D13" s="36">
        <f>Assumption_cost_of_revenue_pct_revenue*RevTotal_FY2028</f>
        <v>445079.72729957022</v>
      </c>
      <c r="E13" s="36">
        <f>Assumption_cost_of_revenue_pct_revenue*RevTotal_FY2029</f>
        <v>519449.70600503526</v>
      </c>
      <c r="F13" s="36">
        <f>Assumption_cost_of_revenue_pct_revenue*RevTotal_FY2030</f>
        <v>607718.05525322945</v>
      </c>
    </row>
    <row r="14" spans="1:6" x14ac:dyDescent="0.3">
      <c r="A14" s="3" t="s">
        <v>162</v>
      </c>
      <c r="B14" s="36">
        <f>RevTotal_FY2026-B13</f>
        <v>865698.92777556332</v>
      </c>
      <c r="C14" s="36">
        <f>RevTotal_FY2027-C13</f>
        <v>995001.86765007209</v>
      </c>
      <c r="D14" s="36">
        <f>RevTotal_FY2028-D13</f>
        <v>1157690.6865356951</v>
      </c>
      <c r="E14" s="36">
        <f>RevTotal_FY2029-E13</f>
        <v>1351133.4034789121</v>
      </c>
      <c r="F14" s="36">
        <f>RevTotal_FY2030-F13</f>
        <v>1580726.9786806311</v>
      </c>
    </row>
    <row r="15" spans="1:6" x14ac:dyDescent="0.3">
      <c r="A15" s="3" t="s">
        <v>643</v>
      </c>
      <c r="B15" s="51">
        <f>IF(RevTotal_FY2026=0,"",B14/RevTotal_FY2026)</f>
        <v>0.72512993872062292</v>
      </c>
      <c r="C15" s="51">
        <f>IF(RevTotal_FY2027=0,"",C14/RevTotal_FY2027)</f>
        <v>0.722306</v>
      </c>
      <c r="D15" s="51">
        <f>IF(RevTotal_FY2028=0,"",D14/RevTotal_FY2028)</f>
        <v>0.72230599999999989</v>
      </c>
      <c r="E15" s="51">
        <f>IF(RevTotal_FY2029=0,"",E14/RevTotal_FY2029)</f>
        <v>0.722306</v>
      </c>
      <c r="F15" s="51">
        <f>IF(RevTotal_FY2030=0,"",F14/RevTotal_FY2030)</f>
        <v>0.722306</v>
      </c>
    </row>
    <row r="16" spans="1:6" x14ac:dyDescent="0.3">
      <c r="A16" s="3" t="s">
        <v>644</v>
      </c>
      <c r="B16" s="36">
        <f>B7+Assumption_rd_pct_revenue*(RevTotal_FY2026-B11)</f>
        <v>353317.96832570748</v>
      </c>
      <c r="C16" s="36">
        <f>Assumption_rd_pct_revenue*RevTotal_FY2027</f>
        <v>406684.17731385335</v>
      </c>
      <c r="D16" s="36">
        <f>Assumption_rd_pct_revenue*RevTotal_FY2028</f>
        <v>473179.49819493009</v>
      </c>
      <c r="E16" s="36">
        <f>Assumption_rd_pct_revenue*RevTotal_FY2029</f>
        <v>552244.7690805078</v>
      </c>
      <c r="F16" s="36">
        <f>Assumption_rd_pct_revenue*RevTotal_FY2030</f>
        <v>646085.87358815793</v>
      </c>
    </row>
    <row r="17" spans="1:6" x14ac:dyDescent="0.3">
      <c r="A17" s="3" t="s">
        <v>645</v>
      </c>
      <c r="B17" s="36">
        <f>B8+Assumption_sm_pct_revenue*(RevTotal_FY2026-B11)</f>
        <v>152346.16021448988</v>
      </c>
      <c r="C17" s="36">
        <f>Assumption_sm_pct_revenue*RevTotal_FY2027</f>
        <v>166852.56140368117</v>
      </c>
      <c r="D17" s="36">
        <f>Assumption_sm_pct_revenue*RevTotal_FY2028</f>
        <v>194133.96360538268</v>
      </c>
      <c r="E17" s="36">
        <f>Assumption_sm_pct_revenue*RevTotal_FY2029</f>
        <v>226572.50855313361</v>
      </c>
      <c r="F17" s="36">
        <f>Assumption_sm_pct_revenue*RevTotal_FY2030</f>
        <v>265073.21629020496</v>
      </c>
    </row>
    <row r="18" spans="1:6" x14ac:dyDescent="0.3">
      <c r="A18" s="3" t="s">
        <v>646</v>
      </c>
      <c r="B18" s="36">
        <f>B9+Assumption_ga_pct_revenue*(RevTotal_FY2026-B11)</f>
        <v>202719.51340180021</v>
      </c>
      <c r="C18" s="36">
        <f>Assumption_ga_pct_revenue*RevTotal_FY2027</f>
        <v>241479.14788929117</v>
      </c>
      <c r="D18" s="36">
        <f>Assumption_ga_pct_revenue*RevTotal_FY2028</f>
        <v>280962.44800449436</v>
      </c>
      <c r="E18" s="36">
        <f>Assumption_ga_pct_revenue*RevTotal_FY2029</f>
        <v>327909.47792631702</v>
      </c>
      <c r="F18" s="36">
        <f>Assumption_ga_pct_revenue*RevTotal_FY2030</f>
        <v>383630.03755853791</v>
      </c>
    </row>
    <row r="19" spans="1:6" x14ac:dyDescent="0.3">
      <c r="A19" s="3" t="s">
        <v>647</v>
      </c>
      <c r="B19" s="36">
        <f>B16+B17+B18</f>
        <v>708383.64194199757</v>
      </c>
      <c r="C19" s="36">
        <f>C16+C17+C18</f>
        <v>815015.88660682575</v>
      </c>
      <c r="D19" s="36">
        <f>D16+D17+D18</f>
        <v>948275.90980480704</v>
      </c>
      <c r="E19" s="36">
        <f>E16+E17+E18</f>
        <v>1106726.7555599585</v>
      </c>
      <c r="F19" s="36">
        <f>F16+F17+F18</f>
        <v>1294789.1274369007</v>
      </c>
    </row>
    <row r="20" spans="1:6" x14ac:dyDescent="0.3">
      <c r="A20" s="3" t="s">
        <v>648</v>
      </c>
      <c r="B20" s="36">
        <f>B14-B19</f>
        <v>157315.28583356575</v>
      </c>
      <c r="C20" s="36">
        <f>C14-C19</f>
        <v>179985.98104324634</v>
      </c>
      <c r="D20" s="36">
        <f>D14-D19</f>
        <v>209414.77673088806</v>
      </c>
      <c r="E20" s="36">
        <f>E14-E19</f>
        <v>244406.64791895356</v>
      </c>
      <c r="F20" s="36">
        <f>F14-F19</f>
        <v>285937.8512437304</v>
      </c>
    </row>
    <row r="21" spans="1:6" x14ac:dyDescent="0.3">
      <c r="A21" s="3" t="s">
        <v>649</v>
      </c>
      <c r="B21" s="36">
        <f>B10+Assumption_other_income_net_pct_revenue*(RevTotal_FY2026-B11)</f>
        <v>-260.07616580798333</v>
      </c>
      <c r="C21" s="36">
        <f>Assumption_other_income_net_pct_revenue*RevTotal_FY2027</f>
        <v>2136.5569394761528</v>
      </c>
      <c r="D21" s="36">
        <f>Assumption_other_income_net_pct_revenue*RevTotal_FY2028</f>
        <v>2485.8969118584969</v>
      </c>
      <c r="E21" s="36">
        <f>Assumption_other_income_net_pct_revenue*RevTotal_FY2029</f>
        <v>2901.2744028096022</v>
      </c>
      <c r="F21" s="36">
        <f>Assumption_other_income_net_pct_revenue*RevTotal_FY2030</f>
        <v>3394.2782476314183</v>
      </c>
    </row>
    <row r="22" spans="1:6" x14ac:dyDescent="0.3">
      <c r="A22" s="3" t="s">
        <v>650</v>
      </c>
      <c r="B22" s="37" t="s">
        <v>428</v>
      </c>
      <c r="C22" s="37" t="s">
        <v>428</v>
      </c>
      <c r="D22" s="37" t="s">
        <v>428</v>
      </c>
      <c r="E22" s="37" t="s">
        <v>428</v>
      </c>
      <c r="F22" s="37" t="s">
        <v>428</v>
      </c>
    </row>
    <row r="23" spans="1:6" x14ac:dyDescent="0.3">
      <c r="A23" s="3" t="s">
        <v>651</v>
      </c>
      <c r="B23" s="36">
        <f>SBC_FY2026</f>
        <v>158185.59103026576</v>
      </c>
      <c r="C23" s="36">
        <f>SBC_FY2027</f>
        <v>182523.4006967055</v>
      </c>
      <c r="D23" s="36">
        <f>SBC_FY2028</f>
        <v>212367.07983317267</v>
      </c>
      <c r="E23" s="36">
        <f>SBC_FY2029</f>
        <v>247852.26200662303</v>
      </c>
      <c r="F23" s="36">
        <f>SBC_FY2030</f>
        <v>289968.96699623659</v>
      </c>
    </row>
    <row r="25" spans="1:6" ht="19.95" customHeight="1" x14ac:dyDescent="0.3">
      <c r="A25" s="11" t="s">
        <v>652</v>
      </c>
      <c r="B25" s="11" t="s">
        <v>76</v>
      </c>
      <c r="C25" s="11" t="s">
        <v>596</v>
      </c>
      <c r="D25" s="11" t="s">
        <v>597</v>
      </c>
      <c r="E25" s="11" t="s">
        <v>598</v>
      </c>
      <c r="F25" s="11" t="s">
        <v>576</v>
      </c>
    </row>
    <row r="26" spans="1:6" x14ac:dyDescent="0.3">
      <c r="A26" s="33" t="s">
        <v>653</v>
      </c>
      <c r="B26" s="18">
        <v>865698.92777556332</v>
      </c>
      <c r="C26" s="18">
        <v>995001.86765007209</v>
      </c>
      <c r="D26" s="18">
        <v>1157690.6865356953</v>
      </c>
      <c r="E26" s="18">
        <v>1351133.4034789121</v>
      </c>
      <c r="F26" s="18">
        <v>1580726.9786806316</v>
      </c>
    </row>
    <row r="27" spans="1:6" x14ac:dyDescent="0.3">
      <c r="A27" s="33" t="s">
        <v>654</v>
      </c>
      <c r="B27" s="18">
        <v>157315.28583356575</v>
      </c>
      <c r="C27" s="18">
        <v>179985.98104324634</v>
      </c>
      <c r="D27" s="18">
        <v>209414.77673088806</v>
      </c>
      <c r="E27" s="18">
        <v>244406.64791895356</v>
      </c>
      <c r="F27" s="18">
        <v>285937.85124373063</v>
      </c>
    </row>
    <row r="28" spans="1:6" x14ac:dyDescent="0.3">
      <c r="A28" s="33" t="s">
        <v>655</v>
      </c>
      <c r="B28" s="18">
        <v>353317.96832570748</v>
      </c>
      <c r="C28" s="18">
        <v>406684.17731385335</v>
      </c>
      <c r="D28" s="18">
        <v>473179.49819493014</v>
      </c>
      <c r="E28" s="18">
        <v>552244.7690805078</v>
      </c>
      <c r="F28" s="18">
        <v>646085.87358815805</v>
      </c>
    </row>
    <row r="29" spans="1:6" x14ac:dyDescent="0.3">
      <c r="A29" s="33" t="s">
        <v>656</v>
      </c>
      <c r="B29" s="18">
        <v>158185.59103026576</v>
      </c>
      <c r="C29" s="18">
        <v>182523.4006967055</v>
      </c>
      <c r="D29" s="18">
        <v>212367.0798331727</v>
      </c>
      <c r="E29" s="18">
        <v>247852.26200662303</v>
      </c>
      <c r="F29" s="18">
        <v>289968.96699623665</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&amp;L&amp;"Calibri,Bold"07_Costs_Opex&amp;R&amp;P / &amp;N</oddHeader>
    <oddFooter>&amp;LInternal model — not investment advice&amp;RAs-of 2026-10-06</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563EB"/>
    <pageSetUpPr fitToPage="1"/>
  </sheetPr>
  <dimension ref="A1:F31"/>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657</v>
      </c>
      <c r="B1" s="91"/>
      <c r="C1" s="91"/>
      <c r="D1" s="91"/>
      <c r="E1" s="91"/>
      <c r="F1" s="91"/>
    </row>
    <row r="2" spans="1:6" x14ac:dyDescent="0.3">
      <c r="A2" s="92" t="s">
        <v>658</v>
      </c>
      <c r="B2" s="92"/>
      <c r="C2" s="92"/>
      <c r="D2" s="92"/>
      <c r="E2" s="92"/>
      <c r="F2" s="92"/>
    </row>
    <row r="3" spans="1:6" x14ac:dyDescent="0.3">
      <c r="A3" s="1" t="s">
        <v>659</v>
      </c>
    </row>
    <row r="4" spans="1:6" ht="19.95" customHeight="1" x14ac:dyDescent="0.3">
      <c r="A4" s="2" t="s">
        <v>634</v>
      </c>
      <c r="B4" s="2" t="s">
        <v>76</v>
      </c>
      <c r="C4" s="2" t="s">
        <v>596</v>
      </c>
      <c r="D4" s="2" t="s">
        <v>597</v>
      </c>
      <c r="E4" s="2" t="s">
        <v>598</v>
      </c>
      <c r="F4" s="2" t="s">
        <v>576</v>
      </c>
    </row>
    <row r="5" spans="1:6" x14ac:dyDescent="0.3">
      <c r="A5" s="3" t="s">
        <v>660</v>
      </c>
      <c r="B5" s="36">
        <f>Assumption_dso_days/365*RevTotal_FY2026</f>
        <v>187353.23141304983</v>
      </c>
      <c r="C5" s="36">
        <f>Assumption_dso_days/365*RevTotal_FY2027</f>
        <v>216178.65891770049</v>
      </c>
      <c r="D5" s="36">
        <f>Assumption_dso_days/365*RevTotal_FY2028</f>
        <v>251525.17617666849</v>
      </c>
      <c r="E5" s="36">
        <f>Assumption_dso_days/365*RevTotal_FY2029</f>
        <v>293553.42605819314</v>
      </c>
      <c r="F5" s="36">
        <f>Assumption_dso_days/365*RevTotal_FY2030</f>
        <v>343435.97683214117</v>
      </c>
    </row>
    <row r="6" spans="1:6" x14ac:dyDescent="0.3">
      <c r="A6" s="3" t="s">
        <v>229</v>
      </c>
      <c r="B6" s="36">
        <f>Assumption_deferred_cost_pct_revenue*RevTotal_FY2026</f>
        <v>118072.11285202479</v>
      </c>
      <c r="C6" s="36">
        <f>Assumption_deferred_cost_pct_revenue*RevTotal_FY2027</f>
        <v>136238.22135022018</v>
      </c>
      <c r="D6" s="36">
        <f>Assumption_deferred_cost_pct_revenue*RevTotal_FY2028</f>
        <v>158513.99392830775</v>
      </c>
      <c r="E6" s="36">
        <f>Assumption_deferred_cost_pct_revenue*RevTotal_FY2029</f>
        <v>185000.6695279624</v>
      </c>
      <c r="F6" s="36">
        <f>Assumption_deferred_cost_pct_revenue*RevTotal_FY2030</f>
        <v>216437.21385605884</v>
      </c>
    </row>
    <row r="7" spans="1:6" x14ac:dyDescent="0.3">
      <c r="A7" s="3" t="s">
        <v>661</v>
      </c>
      <c r="B7" s="36">
        <f>Assumption_prepaid_expenses_pct_revenue*RevTotal_FY2026</f>
        <v>19101.656275352849</v>
      </c>
      <c r="C7" s="36">
        <f>Assumption_prepaid_expenses_pct_revenue*RevTotal_FY2027</f>
        <v>22040.561593564435</v>
      </c>
      <c r="D7" s="36">
        <f>Assumption_prepaid_expenses_pct_revenue*RevTotal_FY2028</f>
        <v>25644.326621364249</v>
      </c>
      <c r="E7" s="36">
        <f>Assumption_prepaid_expenses_pct_revenue*RevTotal_FY2029</f>
        <v>29929.329751743157</v>
      </c>
      <c r="F7" s="36">
        <f>Assumption_prepaid_expenses_pct_revenue*RevTotal_FY2030</f>
        <v>35015.120542941775</v>
      </c>
    </row>
    <row r="8" spans="1:6" x14ac:dyDescent="0.3">
      <c r="A8" s="3" t="s">
        <v>279</v>
      </c>
      <c r="B8" s="36">
        <f>Assumption_income_tax_receivable_pct_revenue*RevTotal_FY2026</f>
        <v>16236.407834049918</v>
      </c>
      <c r="C8" s="36">
        <f>Assumption_income_tax_receivable_pct_revenue*RevTotal_FY2027</f>
        <v>18734.477354529768</v>
      </c>
      <c r="D8" s="36">
        <f>Assumption_income_tax_receivable_pct_revenue*RevTotal_FY2028</f>
        <v>21797.67762815961</v>
      </c>
      <c r="E8" s="36">
        <f>Assumption_income_tax_receivable_pct_revenue*RevTotal_FY2029</f>
        <v>25439.930288981683</v>
      </c>
      <c r="F8" s="36">
        <f>Assumption_income_tax_receivable_pct_revenue*RevTotal_FY2030</f>
        <v>29762.852461500504</v>
      </c>
    </row>
    <row r="9" spans="1:6" x14ac:dyDescent="0.3">
      <c r="A9" s="38" t="s">
        <v>662</v>
      </c>
      <c r="B9" s="35">
        <f>B5+B6+B7+B8</f>
        <v>340763.40837447735</v>
      </c>
      <c r="C9" s="35">
        <f>C5+C6+C7+C8</f>
        <v>393191.91921601491</v>
      </c>
      <c r="D9" s="35">
        <f>D5+D6+D7+D8</f>
        <v>457481.17435450014</v>
      </c>
      <c r="E9" s="35">
        <f>E5+E6+E7+E8</f>
        <v>533923.35562688042</v>
      </c>
      <c r="F9" s="35">
        <f>F5+F6+F7+F8</f>
        <v>624651.16369264235</v>
      </c>
    </row>
    <row r="11" spans="1:6" x14ac:dyDescent="0.3">
      <c r="A11" s="3" t="s">
        <v>245</v>
      </c>
      <c r="B11" s="36">
        <f>DR_EOP_FY2026</f>
        <v>570900.75192960817</v>
      </c>
      <c r="C11" s="36">
        <f>DR_EOP_FY2027</f>
        <v>658737.28462765715</v>
      </c>
      <c r="D11" s="36">
        <f>DR_EOP_FY2028</f>
        <v>766444.81189602392</v>
      </c>
      <c r="E11" s="36">
        <f>DR_EOP_FY2029</f>
        <v>894512.84295522363</v>
      </c>
      <c r="F11" s="36">
        <f>DR_EOP_FY2030</f>
        <v>1046514.4152271722</v>
      </c>
    </row>
    <row r="12" spans="1:6" x14ac:dyDescent="0.3">
      <c r="A12" s="3" t="s">
        <v>247</v>
      </c>
      <c r="B12" s="36">
        <f>Assumption_dpo_days/365*COGS_FY2026</f>
        <v>9107.4136738803154</v>
      </c>
      <c r="C12" s="36">
        <f>Assumption_dpo_days/365*COGS_FY2027</f>
        <v>10616.607231863707</v>
      </c>
      <c r="D12" s="36">
        <f>Assumption_dpo_days/365*COGS_FY2028</f>
        <v>12352.486678204512</v>
      </c>
      <c r="E12" s="36">
        <f>Assumption_dpo_days/365*COGS_FY2029</f>
        <v>14416.508278989062</v>
      </c>
      <c r="F12" s="36">
        <f>Assumption_dpo_days/365*COGS_FY2030</f>
        <v>16866.257259493737</v>
      </c>
    </row>
    <row r="13" spans="1:6" x14ac:dyDescent="0.3">
      <c r="A13" s="3" t="s">
        <v>663</v>
      </c>
      <c r="B13" s="36">
        <f>Assumption_accrued_expenses_pct_revenue*RevTotal_FY2026</f>
        <v>52529.554757220329</v>
      </c>
      <c r="C13" s="36">
        <f>Assumption_accrued_expenses_pct_revenue*RevTotal_FY2027</f>
        <v>60611.544382302192</v>
      </c>
      <c r="D13" s="36">
        <f>Assumption_accrued_expenses_pct_revenue*RevTotal_FY2028</f>
        <v>70521.898208751678</v>
      </c>
      <c r="E13" s="36">
        <f>Assumption_accrued_expenses_pct_revenue*RevTotal_FY2029</f>
        <v>82305.656817293682</v>
      </c>
      <c r="F13" s="36">
        <f>Assumption_accrued_expenses_pct_revenue*RevTotal_FY2030</f>
        <v>96291.581493089863</v>
      </c>
    </row>
    <row r="14" spans="1:6" x14ac:dyDescent="0.3">
      <c r="A14" s="3" t="s">
        <v>249</v>
      </c>
      <c r="B14" s="36">
        <f>Assumption_income_tax_payable_pct_revenue*RevTotal_FY2026</f>
        <v>1432.6242206514635</v>
      </c>
      <c r="C14" s="36">
        <f>Assumption_income_tax_payable_pct_revenue*RevTotal_FY2027</f>
        <v>1653.0421195173326</v>
      </c>
      <c r="D14" s="36">
        <f>Assumption_income_tax_payable_pct_revenue*RevTotal_FY2028</f>
        <v>1923.3244966023183</v>
      </c>
      <c r="E14" s="36">
        <f>Assumption_income_tax_payable_pct_revenue*RevTotal_FY2029</f>
        <v>2244.6997313807365</v>
      </c>
      <c r="F14" s="36">
        <f>Assumption_income_tax_payable_pct_revenue*RevTotal_FY2030</f>
        <v>2626.1340407206326</v>
      </c>
    </row>
    <row r="15" spans="1:6" x14ac:dyDescent="0.3">
      <c r="A15" s="38" t="s">
        <v>664</v>
      </c>
      <c r="B15" s="35">
        <f>B11+B12+B13+B14</f>
        <v>633970.34458136023</v>
      </c>
      <c r="C15" s="35">
        <f>C11+C12+C13+C14</f>
        <v>731618.47836134036</v>
      </c>
      <c r="D15" s="35">
        <f>D11+D12+D13+D14</f>
        <v>851242.5212795824</v>
      </c>
      <c r="E15" s="35">
        <f>E11+E12+E13+E14</f>
        <v>993479.70778288716</v>
      </c>
      <c r="F15" s="35">
        <f>F11+F12+F13+F14</f>
        <v>1162298.3880204763</v>
      </c>
    </row>
    <row r="17" spans="1:6" x14ac:dyDescent="0.3">
      <c r="A17" s="38" t="s">
        <v>665</v>
      </c>
      <c r="B17" s="35">
        <f>B9-B15</f>
        <v>-293206.93620688288</v>
      </c>
      <c r="C17" s="35">
        <f>C9-C15</f>
        <v>-338426.55914532545</v>
      </c>
      <c r="D17" s="35">
        <f>D9-D15</f>
        <v>-393761.34692508227</v>
      </c>
      <c r="E17" s="35">
        <f>E9-E15</f>
        <v>-459556.35215600673</v>
      </c>
      <c r="F17" s="35">
        <f>F9-F15</f>
        <v>-537647.22432783397</v>
      </c>
    </row>
    <row r="19" spans="1:6" ht="19.95" customHeight="1" x14ac:dyDescent="0.3">
      <c r="A19" s="11" t="s">
        <v>652</v>
      </c>
      <c r="B19" s="11" t="s">
        <v>76</v>
      </c>
      <c r="C19" s="11" t="s">
        <v>596</v>
      </c>
      <c r="D19" s="11" t="s">
        <v>597</v>
      </c>
      <c r="E19" s="11" t="s">
        <v>598</v>
      </c>
      <c r="F19" s="11" t="s">
        <v>576</v>
      </c>
    </row>
    <row r="20" spans="1:6" x14ac:dyDescent="0.3">
      <c r="A20" s="33" t="s">
        <v>666</v>
      </c>
      <c r="B20" s="18">
        <v>340763.40837447735</v>
      </c>
      <c r="C20" s="18">
        <v>393191.91921601491</v>
      </c>
      <c r="D20" s="18">
        <v>457481.17435450014</v>
      </c>
      <c r="E20" s="18">
        <v>533923.35562688042</v>
      </c>
      <c r="F20" s="18">
        <v>624651.16369264247</v>
      </c>
    </row>
    <row r="21" spans="1:6" x14ac:dyDescent="0.3">
      <c r="A21" s="33" t="s">
        <v>667</v>
      </c>
      <c r="B21" s="18">
        <v>633970.34458136023</v>
      </c>
      <c r="C21" s="18">
        <v>731618.47836134036</v>
      </c>
      <c r="D21" s="18">
        <v>851242.52127958252</v>
      </c>
      <c r="E21" s="18">
        <v>993479.70778288716</v>
      </c>
      <c r="F21" s="18">
        <v>1162298.3880204766</v>
      </c>
    </row>
    <row r="22" spans="1:6" x14ac:dyDescent="0.3">
      <c r="A22" s="33" t="s">
        <v>668</v>
      </c>
      <c r="B22" s="18">
        <v>-320585</v>
      </c>
    </row>
    <row r="24" spans="1:6" ht="15.6" x14ac:dyDescent="0.3">
      <c r="A24" s="29" t="s">
        <v>669</v>
      </c>
    </row>
    <row r="25" spans="1:6" x14ac:dyDescent="0.3">
      <c r="A25" s="48" t="s">
        <v>670</v>
      </c>
      <c r="B25" s="18">
        <v>9107.4136738803154</v>
      </c>
    </row>
    <row r="26" spans="1:6" x14ac:dyDescent="0.3">
      <c r="A26" s="33" t="s">
        <v>671</v>
      </c>
      <c r="B26" s="18">
        <v>9192.6720825135581</v>
      </c>
    </row>
    <row r="27" spans="1:6" x14ac:dyDescent="0.3">
      <c r="A27" s="48" t="s">
        <v>672</v>
      </c>
      <c r="B27" s="18">
        <v>85.258408633242652</v>
      </c>
    </row>
    <row r="28" spans="1:6" x14ac:dyDescent="0.3">
      <c r="A28" s="48" t="s">
        <v>673</v>
      </c>
      <c r="B28" s="18">
        <v>-293206.93620688288</v>
      </c>
    </row>
    <row r="29" spans="1:6" x14ac:dyDescent="0.3">
      <c r="A29" s="33" t="s">
        <v>674</v>
      </c>
      <c r="B29" s="18">
        <v>-293292.19461551611</v>
      </c>
    </row>
    <row r="30" spans="1:6" x14ac:dyDescent="0.3">
      <c r="A30" s="48" t="s">
        <v>675</v>
      </c>
      <c r="B30" s="18">
        <v>85.258408633235376</v>
      </c>
    </row>
    <row r="31" spans="1:6" x14ac:dyDescent="0.3">
      <c r="A31" s="1" t="s">
        <v>676</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&amp;L&amp;"Calibri,Bold"08_Working_Capital&amp;R&amp;P / &amp;N</oddHeader>
    <oddFooter>&amp;LInternal model — not investment advice&amp;RAs-of 2026-10-06</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563EB"/>
    <pageSetUpPr fitToPage="1"/>
  </sheetPr>
  <dimension ref="A1:F29"/>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677</v>
      </c>
      <c r="B1" s="91"/>
      <c r="C1" s="91"/>
      <c r="D1" s="91"/>
      <c r="E1" s="91"/>
      <c r="F1" s="91"/>
    </row>
    <row r="2" spans="1:6" x14ac:dyDescent="0.3">
      <c r="A2" s="92" t="s">
        <v>678</v>
      </c>
      <c r="B2" s="92"/>
      <c r="C2" s="92"/>
      <c r="D2" s="92"/>
      <c r="E2" s="92"/>
      <c r="F2" s="92"/>
    </row>
    <row r="3" spans="1:6" x14ac:dyDescent="0.3">
      <c r="A3" s="1" t="s">
        <v>679</v>
      </c>
    </row>
    <row r="4" spans="1:6" ht="19.95" customHeight="1" x14ac:dyDescent="0.3">
      <c r="A4" s="2" t="s">
        <v>634</v>
      </c>
      <c r="B4" s="2" t="s">
        <v>76</v>
      </c>
      <c r="C4" s="2" t="s">
        <v>596</v>
      </c>
      <c r="D4" s="2" t="s">
        <v>597</v>
      </c>
      <c r="E4" s="2" t="s">
        <v>598</v>
      </c>
      <c r="F4" s="2" t="s">
        <v>576</v>
      </c>
    </row>
    <row r="5" spans="1:6" x14ac:dyDescent="0.3">
      <c r="A5" s="3" t="s">
        <v>680</v>
      </c>
      <c r="B5" s="36">
        <f>Assumption_capex_ppe_pct_revenue*RevTotal_FY2026</f>
        <v>20773.051199446221</v>
      </c>
      <c r="C5" s="36">
        <f>Assumption_capex_ppe_pct_revenue*RevTotal_FY2027</f>
        <v>23969.110733001322</v>
      </c>
      <c r="D5" s="36">
        <f>Assumption_capex_ppe_pct_revenue*RevTotal_FY2028</f>
        <v>27888.205200733617</v>
      </c>
      <c r="E5" s="36">
        <f>Assumption_capex_ppe_pct_revenue*RevTotal_FY2029</f>
        <v>32548.146105020682</v>
      </c>
      <c r="F5" s="36">
        <f>Assumption_capex_ppe_pct_revenue*RevTotal_FY2030</f>
        <v>38078.943590449177</v>
      </c>
    </row>
    <row r="6" spans="1:6" x14ac:dyDescent="0.3">
      <c r="A6" s="3" t="s">
        <v>681</v>
      </c>
      <c r="B6" s="36">
        <f>Assumption_capitalized_software_pct_revenue*RevTotal_FY2026</f>
        <v>10744.681654885975</v>
      </c>
      <c r="C6" s="36">
        <f>Assumption_capitalized_software_pct_revenue*RevTotal_FY2027</f>
        <v>12397.815896379994</v>
      </c>
      <c r="D6" s="36">
        <f>Assumption_capitalized_software_pct_revenue*RevTotal_FY2028</f>
        <v>14424.933724517388</v>
      </c>
      <c r="E6" s="36">
        <f>Assumption_capitalized_software_pct_revenue*RevTotal_FY2029</f>
        <v>16835.247985355523</v>
      </c>
      <c r="F6" s="36">
        <f>Assumption_capitalized_software_pct_revenue*RevTotal_FY2030</f>
        <v>19696.005305404746</v>
      </c>
    </row>
    <row r="7" spans="1:6" x14ac:dyDescent="0.3">
      <c r="A7" s="38" t="s">
        <v>682</v>
      </c>
      <c r="B7" s="35">
        <f>B5+B6</f>
        <v>31517.732854332196</v>
      </c>
      <c r="C7" s="35">
        <f>C5+C6</f>
        <v>36366.926629381313</v>
      </c>
      <c r="D7" s="35">
        <f>D5+D6</f>
        <v>42313.138925251005</v>
      </c>
      <c r="E7" s="35">
        <f>E5+E6</f>
        <v>49383.394090376205</v>
      </c>
      <c r="F7" s="35">
        <f>F5+F6</f>
        <v>57774.948895853922</v>
      </c>
    </row>
    <row r="8" spans="1:6" x14ac:dyDescent="0.3">
      <c r="A8" s="3" t="s">
        <v>683</v>
      </c>
      <c r="B8" s="37" t="str">
        <f>IF(ABS(B7-Assumption_capex_total_pct_revenue*RevTotal_FY2026)&lt;=Tolerance_USD,"OK","BREAK")</f>
        <v>OK</v>
      </c>
      <c r="C8" s="37" t="str">
        <f>IF(ABS(C7-Assumption_capex_total_pct_revenue*RevTotal_FY2027)&lt;=Tolerance_USD,"OK","BREAK")</f>
        <v>OK</v>
      </c>
      <c r="D8" s="37" t="str">
        <f>IF(ABS(D7-Assumption_capex_total_pct_revenue*RevTotal_FY2028)&lt;=Tolerance_USD,"OK","BREAK")</f>
        <v>OK</v>
      </c>
      <c r="E8" s="37" t="str">
        <f>IF(ABS(E7-Assumption_capex_total_pct_revenue*RevTotal_FY2029)&lt;=Tolerance_USD,"OK","BREAK")</f>
        <v>OK</v>
      </c>
      <c r="F8" s="37" t="str">
        <f>IF(ABS(F7-Assumption_capex_total_pct_revenue*RevTotal_FY2030)&lt;=Tolerance_USD,"OK","BREAK")</f>
        <v>OK</v>
      </c>
    </row>
    <row r="10" spans="1:6" x14ac:dyDescent="0.3">
      <c r="A10" s="3" t="s">
        <v>684</v>
      </c>
      <c r="B10" s="36">
        <f>Assumption_depreciation_pct_revenue*RevTotal_FY2026</f>
        <v>5969.2675860477648</v>
      </c>
      <c r="C10" s="36">
        <f>Assumption_depreciation_pct_revenue*RevTotal_FY2027</f>
        <v>6887.6754979888865</v>
      </c>
      <c r="D10" s="36">
        <f>Assumption_depreciation_pct_revenue*RevTotal_FY2028</f>
        <v>8013.8520691763269</v>
      </c>
      <c r="E10" s="36">
        <f>Assumption_depreciation_pct_revenue*RevTotal_FY2029</f>
        <v>9352.915547419736</v>
      </c>
      <c r="F10" s="36">
        <f>Assumption_depreciation_pct_revenue*RevTotal_FY2030</f>
        <v>10942.225169669304</v>
      </c>
    </row>
    <row r="11" spans="1:6" x14ac:dyDescent="0.3">
      <c r="A11" s="3" t="s">
        <v>685</v>
      </c>
      <c r="B11" s="36">
        <f>Assumption_amortization_pct_revenue*RevTotal_FY2026</f>
        <v>10625.296303165022</v>
      </c>
      <c r="C11" s="36">
        <f>Assumption_amortization_pct_revenue*RevTotal_FY2027</f>
        <v>12260.062386420217</v>
      </c>
      <c r="D11" s="36">
        <f>Assumption_amortization_pct_revenue*RevTotal_FY2028</f>
        <v>14264.656683133862</v>
      </c>
      <c r="E11" s="36">
        <f>Assumption_amortization_pct_revenue*RevTotal_FY2029</f>
        <v>16648.189674407131</v>
      </c>
      <c r="F11" s="36">
        <f>Assumption_amortization_pct_revenue*RevTotal_FY2030</f>
        <v>19477.16080201136</v>
      </c>
    </row>
    <row r="12" spans="1:6" x14ac:dyDescent="0.3">
      <c r="A12" s="38" t="s">
        <v>686</v>
      </c>
      <c r="B12" s="35">
        <f>B10+B11</f>
        <v>16594.563889212786</v>
      </c>
      <c r="C12" s="35">
        <f>C10+C11</f>
        <v>19147.737884409104</v>
      </c>
      <c r="D12" s="35">
        <f>D10+D11</f>
        <v>22278.50875231019</v>
      </c>
      <c r="E12" s="35">
        <f>E10+E11</f>
        <v>26001.105221826867</v>
      </c>
      <c r="F12" s="35">
        <f>F10+F11</f>
        <v>30419.385971680662</v>
      </c>
    </row>
    <row r="14" spans="1:6" x14ac:dyDescent="0.3">
      <c r="A14" s="3" t="s">
        <v>687</v>
      </c>
      <c r="B14" s="18">
        <v>42619</v>
      </c>
      <c r="C14" s="36">
        <f>B17</f>
        <v>50020.891806699234</v>
      </c>
      <c r="D14" s="36">
        <f>C17</f>
        <v>67102.327041711658</v>
      </c>
      <c r="E14" s="36">
        <f>D17</f>
        <v>86976.680173268949</v>
      </c>
      <c r="F14" s="36">
        <f>E17</f>
        <v>110171.9107308699</v>
      </c>
    </row>
    <row r="15" spans="1:6" x14ac:dyDescent="0.3">
      <c r="A15" s="3" t="s">
        <v>688</v>
      </c>
      <c r="B15" s="36">
        <f>B26</f>
        <v>10386.525599723111</v>
      </c>
      <c r="C15" s="36">
        <f>C26</f>
        <v>23969.110733001322</v>
      </c>
      <c r="D15" s="36">
        <f>D26</f>
        <v>27888.205200733617</v>
      </c>
      <c r="E15" s="36">
        <f>E26</f>
        <v>32548.146105020682</v>
      </c>
      <c r="F15" s="36">
        <f>F26</f>
        <v>38078.943590449177</v>
      </c>
    </row>
    <row r="16" spans="1:6" x14ac:dyDescent="0.3">
      <c r="A16" s="3" t="s">
        <v>689</v>
      </c>
      <c r="B16" s="36">
        <f>-B28</f>
        <v>-2984.6337930238824</v>
      </c>
      <c r="C16" s="36">
        <f>-C28</f>
        <v>-6887.6754979888865</v>
      </c>
      <c r="D16" s="36">
        <f>-D28</f>
        <v>-8013.8520691763269</v>
      </c>
      <c r="E16" s="36">
        <f>-E28</f>
        <v>-9352.915547419736</v>
      </c>
      <c r="F16" s="36">
        <f>-F28</f>
        <v>-10942.225169669304</v>
      </c>
    </row>
    <row r="17" spans="1:6" x14ac:dyDescent="0.3">
      <c r="A17" s="38" t="s">
        <v>690</v>
      </c>
      <c r="B17" s="35">
        <f>B14+B15+B16</f>
        <v>50020.891806699234</v>
      </c>
      <c r="C17" s="35">
        <f>C14+C15+C16</f>
        <v>67102.327041711658</v>
      </c>
      <c r="D17" s="35">
        <f>D14+D15+D16</f>
        <v>86976.680173268949</v>
      </c>
      <c r="E17" s="35">
        <f>E14+E15+E16</f>
        <v>110171.9107308699</v>
      </c>
      <c r="F17" s="35">
        <f>F14+F15+F16</f>
        <v>137308.62915164977</v>
      </c>
    </row>
    <row r="18" spans="1:6" x14ac:dyDescent="0.3">
      <c r="A18" s="3" t="s">
        <v>691</v>
      </c>
      <c r="B18" s="18">
        <v>27598</v>
      </c>
      <c r="C18" s="36">
        <f>B21</f>
        <v>27657.692675860479</v>
      </c>
      <c r="D18" s="36">
        <f>C21</f>
        <v>27795.446185820259</v>
      </c>
      <c r="E18" s="36">
        <f>D21</f>
        <v>27955.723227203787</v>
      </c>
      <c r="F18" s="36">
        <f>E21</f>
        <v>28142.781538152176</v>
      </c>
    </row>
    <row r="19" spans="1:6" x14ac:dyDescent="0.3">
      <c r="A19" s="3" t="s">
        <v>692</v>
      </c>
      <c r="B19" s="36">
        <f>B27</f>
        <v>5372.3408274429876</v>
      </c>
      <c r="C19" s="36">
        <f>C27</f>
        <v>12397.815896379994</v>
      </c>
      <c r="D19" s="36">
        <f>D27</f>
        <v>14424.933724517388</v>
      </c>
      <c r="E19" s="36">
        <f>E27</f>
        <v>16835.247985355523</v>
      </c>
      <c r="F19" s="36">
        <f>F27</f>
        <v>19696.005305404746</v>
      </c>
    </row>
    <row r="20" spans="1:6" x14ac:dyDescent="0.3">
      <c r="A20" s="3" t="s">
        <v>693</v>
      </c>
      <c r="B20" s="36">
        <f>-B29</f>
        <v>-5312.6481515825108</v>
      </c>
      <c r="C20" s="36">
        <f>-C29</f>
        <v>-12260.062386420217</v>
      </c>
      <c r="D20" s="36">
        <f>-D29</f>
        <v>-14264.656683133862</v>
      </c>
      <c r="E20" s="36">
        <f>-E29</f>
        <v>-16648.189674407131</v>
      </c>
      <c r="F20" s="36">
        <f>-F29</f>
        <v>-19477.16080201136</v>
      </c>
    </row>
    <row r="21" spans="1:6" x14ac:dyDescent="0.3">
      <c r="A21" s="38" t="s">
        <v>694</v>
      </c>
      <c r="B21" s="35">
        <f>B18+B19+B20</f>
        <v>27657.692675860479</v>
      </c>
      <c r="C21" s="35">
        <f>C18+C19+C20</f>
        <v>27795.446185820259</v>
      </c>
      <c r="D21" s="35">
        <f>D18+D19+D20</f>
        <v>27955.723227203787</v>
      </c>
      <c r="E21" s="35">
        <f>E18+E19+E20</f>
        <v>28142.781538152176</v>
      </c>
      <c r="F21" s="35">
        <f>F18+F19+F20</f>
        <v>28361.626041545565</v>
      </c>
    </row>
    <row r="23" spans="1:6" ht="19.95" customHeight="1" x14ac:dyDescent="0.3">
      <c r="A23" s="11" t="s">
        <v>652</v>
      </c>
      <c r="B23" s="11" t="s">
        <v>76</v>
      </c>
      <c r="C23" s="11" t="s">
        <v>596</v>
      </c>
      <c r="D23" s="11" t="s">
        <v>597</v>
      </c>
      <c r="E23" s="11" t="s">
        <v>598</v>
      </c>
      <c r="F23" s="11" t="s">
        <v>576</v>
      </c>
    </row>
    <row r="24" spans="1:6" x14ac:dyDescent="0.3">
      <c r="A24" s="33" t="s">
        <v>695</v>
      </c>
      <c r="B24" s="18">
        <v>31517.732854332196</v>
      </c>
      <c r="C24" s="18">
        <v>36366.92662938132</v>
      </c>
      <c r="D24" s="18">
        <v>42313.138925251013</v>
      </c>
      <c r="E24" s="18">
        <v>49383.394090376205</v>
      </c>
      <c r="F24" s="18">
        <v>57774.948895853937</v>
      </c>
    </row>
    <row r="25" spans="1:6" x14ac:dyDescent="0.3">
      <c r="A25" s="33" t="s">
        <v>696</v>
      </c>
      <c r="B25" s="30" t="s">
        <v>428</v>
      </c>
      <c r="C25" s="30" t="s">
        <v>428</v>
      </c>
      <c r="D25" s="30" t="s">
        <v>428</v>
      </c>
      <c r="E25" s="30" t="s">
        <v>428</v>
      </c>
      <c r="F25" s="30" t="s">
        <v>428</v>
      </c>
    </row>
    <row r="26" spans="1:6" x14ac:dyDescent="0.3">
      <c r="A26" s="33" t="s">
        <v>697</v>
      </c>
      <c r="B26" s="53">
        <f>B5/2</f>
        <v>10386.525599723111</v>
      </c>
      <c r="C26" s="53">
        <f t="shared" ref="C26:F27" si="0">C5</f>
        <v>23969.110733001322</v>
      </c>
      <c r="D26" s="53">
        <f t="shared" si="0"/>
        <v>27888.205200733617</v>
      </c>
      <c r="E26" s="53">
        <f t="shared" si="0"/>
        <v>32548.146105020682</v>
      </c>
      <c r="F26" s="53">
        <f t="shared" si="0"/>
        <v>38078.943590449177</v>
      </c>
    </row>
    <row r="27" spans="1:6" x14ac:dyDescent="0.3">
      <c r="A27" s="33" t="s">
        <v>698</v>
      </c>
      <c r="B27" s="53">
        <f>B6/2</f>
        <v>5372.3408274429876</v>
      </c>
      <c r="C27" s="53">
        <f t="shared" si="0"/>
        <v>12397.815896379994</v>
      </c>
      <c r="D27" s="53">
        <f t="shared" si="0"/>
        <v>14424.933724517388</v>
      </c>
      <c r="E27" s="53">
        <f t="shared" si="0"/>
        <v>16835.247985355523</v>
      </c>
      <c r="F27" s="53">
        <f t="shared" si="0"/>
        <v>19696.005305404746</v>
      </c>
    </row>
    <row r="28" spans="1:6" x14ac:dyDescent="0.3">
      <c r="A28" s="33" t="s">
        <v>699</v>
      </c>
      <c r="B28" s="53">
        <f>B10/2</f>
        <v>2984.6337930238824</v>
      </c>
      <c r="C28" s="53">
        <f t="shared" ref="C28:F29" si="1">C10</f>
        <v>6887.6754979888865</v>
      </c>
      <c r="D28" s="53">
        <f t="shared" si="1"/>
        <v>8013.8520691763269</v>
      </c>
      <c r="E28" s="53">
        <f t="shared" si="1"/>
        <v>9352.915547419736</v>
      </c>
      <c r="F28" s="53">
        <f t="shared" si="1"/>
        <v>10942.225169669304</v>
      </c>
    </row>
    <row r="29" spans="1:6" x14ac:dyDescent="0.3">
      <c r="A29" s="33" t="s">
        <v>700</v>
      </c>
      <c r="B29" s="53">
        <f>B11/2</f>
        <v>5312.6481515825108</v>
      </c>
      <c r="C29" s="53">
        <f t="shared" si="1"/>
        <v>12260.062386420217</v>
      </c>
      <c r="D29" s="53">
        <f t="shared" si="1"/>
        <v>14264.656683133862</v>
      </c>
      <c r="E29" s="53">
        <f t="shared" si="1"/>
        <v>16648.189674407131</v>
      </c>
      <c r="F29" s="53">
        <f t="shared" si="1"/>
        <v>19477.16080201136</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&amp;L&amp;"Calibri,Bold"09_Capex_DA&amp;R&amp;P / &amp;N</oddHeader>
    <oddFooter>&amp;LInternal model — not investment advice&amp;RAs-of 2026-10-06</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563EB"/>
    <pageSetUpPr fitToPage="1"/>
  </sheetPr>
  <dimension ref="A1:F21"/>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701</v>
      </c>
      <c r="B1" s="91"/>
      <c r="C1" s="91"/>
      <c r="D1" s="91"/>
      <c r="E1" s="91"/>
      <c r="F1" s="91"/>
    </row>
    <row r="2" spans="1:6" x14ac:dyDescent="0.3">
      <c r="A2" s="92" t="s">
        <v>702</v>
      </c>
      <c r="B2" s="92"/>
      <c r="C2" s="92"/>
      <c r="D2" s="92"/>
      <c r="E2" s="92"/>
      <c r="F2" s="92"/>
    </row>
    <row r="3" spans="1:6" x14ac:dyDescent="0.3">
      <c r="A3" s="1" t="s">
        <v>703</v>
      </c>
    </row>
    <row r="4" spans="1:6" ht="19.95" customHeight="1" x14ac:dyDescent="0.3">
      <c r="A4" s="2" t="s">
        <v>634</v>
      </c>
      <c r="B4" s="2" t="s">
        <v>76</v>
      </c>
      <c r="C4" s="2" t="s">
        <v>596</v>
      </c>
      <c r="D4" s="2" t="s">
        <v>597</v>
      </c>
      <c r="E4" s="2" t="s">
        <v>598</v>
      </c>
      <c r="F4" s="2" t="s">
        <v>576</v>
      </c>
    </row>
    <row r="5" spans="1:6" x14ac:dyDescent="0.3">
      <c r="A5" s="38" t="s">
        <v>704</v>
      </c>
      <c r="B5" s="35">
        <f>Assumption_sbc_target_pct_of_revenue*RevTotal_FY2026</f>
        <v>158185.59103026576</v>
      </c>
      <c r="C5" s="35">
        <f>Assumption_sbc_target_pct_of_revenue*RevTotal_FY2027</f>
        <v>182523.4006967055</v>
      </c>
      <c r="D5" s="35">
        <f>Assumption_sbc_target_pct_of_revenue*RevTotal_FY2028</f>
        <v>212367.07983317267</v>
      </c>
      <c r="E5" s="35">
        <f>Assumption_sbc_target_pct_of_revenue*RevTotal_FY2029</f>
        <v>247852.26200662303</v>
      </c>
      <c r="F5" s="35">
        <f>Assumption_sbc_target_pct_of_revenue*RevTotal_FY2030</f>
        <v>289968.96699623659</v>
      </c>
    </row>
    <row r="6" spans="1:6" x14ac:dyDescent="0.3">
      <c r="A6" s="3" t="s">
        <v>705</v>
      </c>
      <c r="B6" s="36">
        <f>B5/RevTotal_FY2026</f>
        <v>0.13250000000000001</v>
      </c>
      <c r="C6" s="36">
        <f>C5/RevTotal_FY2027</f>
        <v>0.13250000000000001</v>
      </c>
      <c r="D6" s="36">
        <f>D5/RevTotal_FY2028</f>
        <v>0.13250000000000001</v>
      </c>
      <c r="E6" s="36">
        <f>E5/RevTotal_FY2029</f>
        <v>0.13250000000000001</v>
      </c>
      <c r="F6" s="36">
        <f>F5/RevTotal_FY2030</f>
        <v>0.13250000000000001</v>
      </c>
    </row>
    <row r="8" spans="1:6" x14ac:dyDescent="0.3">
      <c r="A8" s="3" t="s">
        <v>706</v>
      </c>
      <c r="B8" s="36">
        <f>-Assumption_share_repurchases</f>
        <v>-139206</v>
      </c>
      <c r="C8" s="36">
        <f>-Assumption_share_repurchases</f>
        <v>-139206</v>
      </c>
      <c r="D8" s="36">
        <f>-Assumption_share_repurchases</f>
        <v>-139206</v>
      </c>
      <c r="E8" s="36">
        <f>-Assumption_share_repurchases</f>
        <v>-139206</v>
      </c>
      <c r="F8" s="36">
        <f>-Assumption_share_repurchases</f>
        <v>-139206</v>
      </c>
    </row>
    <row r="9" spans="1:6" x14ac:dyDescent="0.3">
      <c r="A9" s="3" t="s">
        <v>707</v>
      </c>
      <c r="B9" s="36">
        <f>Assumption_option_proceeds</f>
        <v>12570</v>
      </c>
      <c r="C9" s="36">
        <f>Assumption_option_proceeds</f>
        <v>12570</v>
      </c>
      <c r="D9" s="36">
        <f>Assumption_option_proceeds</f>
        <v>12570</v>
      </c>
      <c r="E9" s="36">
        <f>Assumption_option_proceeds</f>
        <v>12570</v>
      </c>
      <c r="F9" s="36">
        <f>Assumption_option_proceeds</f>
        <v>12570</v>
      </c>
    </row>
    <row r="10" spans="1:6" x14ac:dyDescent="0.3">
      <c r="A10" s="3" t="s">
        <v>708</v>
      </c>
      <c r="B10" s="36">
        <f>-Assumption_net_share_settlement_taxes</f>
        <v>-41617</v>
      </c>
      <c r="C10" s="36">
        <f>-Assumption_net_share_settlement_taxes</f>
        <v>-41617</v>
      </c>
      <c r="D10" s="36">
        <f>-Assumption_net_share_settlement_taxes</f>
        <v>-41617</v>
      </c>
      <c r="E10" s="36">
        <f>-Assumption_net_share_settlement_taxes</f>
        <v>-41617</v>
      </c>
      <c r="F10" s="36">
        <f>-Assumption_net_share_settlement_taxes</f>
        <v>-41617</v>
      </c>
    </row>
    <row r="12" spans="1:6" x14ac:dyDescent="0.3">
      <c r="A12" s="38" t="s">
        <v>709</v>
      </c>
      <c r="B12" s="52">
        <f>Cover_SharesDiluted</f>
        <v>50061458</v>
      </c>
      <c r="C12" s="52">
        <f>Cover_SharesDiluted</f>
        <v>50061458</v>
      </c>
      <c r="D12" s="52">
        <f>Cover_SharesDiluted</f>
        <v>50061458</v>
      </c>
      <c r="E12" s="52">
        <f>Cover_SharesDiluted</f>
        <v>50061458</v>
      </c>
      <c r="F12" s="52">
        <f>Cover_SharesDiluted</f>
        <v>50061458</v>
      </c>
    </row>
    <row r="13" spans="1:6" x14ac:dyDescent="0.3">
      <c r="A13" s="3" t="s">
        <v>710</v>
      </c>
      <c r="B13" s="37" t="s">
        <v>428</v>
      </c>
      <c r="C13" s="37" t="s">
        <v>428</v>
      </c>
      <c r="D13" s="37" t="s">
        <v>428</v>
      </c>
      <c r="E13" s="37" t="s">
        <v>428</v>
      </c>
      <c r="F13" s="37" t="s">
        <v>428</v>
      </c>
    </row>
    <row r="15" spans="1:6" ht="19.95" customHeight="1" x14ac:dyDescent="0.3">
      <c r="A15" s="11" t="s">
        <v>652</v>
      </c>
      <c r="B15" s="11" t="s">
        <v>76</v>
      </c>
      <c r="C15" s="11" t="s">
        <v>596</v>
      </c>
      <c r="D15" s="11" t="s">
        <v>597</v>
      </c>
      <c r="E15" s="11" t="s">
        <v>598</v>
      </c>
      <c r="F15" s="11" t="s">
        <v>576</v>
      </c>
    </row>
    <row r="16" spans="1:6" x14ac:dyDescent="0.3">
      <c r="A16" s="33" t="s">
        <v>711</v>
      </c>
      <c r="B16" s="18">
        <v>158185.59103026576</v>
      </c>
      <c r="C16" s="18">
        <v>182523.4006967055</v>
      </c>
      <c r="D16" s="18">
        <v>212367.0798331727</v>
      </c>
      <c r="E16" s="18">
        <v>247852.26200662303</v>
      </c>
      <c r="F16" s="18">
        <v>289968.96699623665</v>
      </c>
    </row>
    <row r="17" spans="1:6" ht="15.6" x14ac:dyDescent="0.3">
      <c r="A17" s="29" t="s">
        <v>712</v>
      </c>
    </row>
    <row r="18" spans="1:6" x14ac:dyDescent="0.3">
      <c r="A18" s="33" t="s">
        <v>713</v>
      </c>
      <c r="B18" s="53">
        <f>B5/2</f>
        <v>79092.795515132879</v>
      </c>
      <c r="C18" s="53">
        <f>C5</f>
        <v>182523.4006967055</v>
      </c>
      <c r="D18" s="53">
        <f>D5</f>
        <v>212367.07983317267</v>
      </c>
      <c r="E18" s="53">
        <f>E5</f>
        <v>247852.26200662303</v>
      </c>
      <c r="F18" s="53">
        <f>F5</f>
        <v>289968.96699623659</v>
      </c>
    </row>
    <row r="19" spans="1:6" x14ac:dyDescent="0.3">
      <c r="A19" s="33" t="s">
        <v>714</v>
      </c>
      <c r="B19" s="53">
        <f>B9/2</f>
        <v>6285</v>
      </c>
      <c r="C19" s="53">
        <f t="shared" ref="C19:F20" si="0">C9</f>
        <v>12570</v>
      </c>
      <c r="D19" s="53">
        <f t="shared" si="0"/>
        <v>12570</v>
      </c>
      <c r="E19" s="53">
        <f t="shared" si="0"/>
        <v>12570</v>
      </c>
      <c r="F19" s="53">
        <f t="shared" si="0"/>
        <v>12570</v>
      </c>
    </row>
    <row r="20" spans="1:6" x14ac:dyDescent="0.3">
      <c r="A20" s="33" t="s">
        <v>715</v>
      </c>
      <c r="B20" s="53">
        <f>B10/2</f>
        <v>-20808.5</v>
      </c>
      <c r="C20" s="53">
        <f t="shared" si="0"/>
        <v>-41617</v>
      </c>
      <c r="D20" s="53">
        <f t="shared" si="0"/>
        <v>-41617</v>
      </c>
      <c r="E20" s="53">
        <f t="shared" si="0"/>
        <v>-41617</v>
      </c>
      <c r="F20" s="53">
        <f t="shared" si="0"/>
        <v>-41617</v>
      </c>
    </row>
    <row r="21" spans="1:6" x14ac:dyDescent="0.3">
      <c r="A21" s="33" t="s">
        <v>716</v>
      </c>
      <c r="B21" s="53">
        <f>B8/2</f>
        <v>-69603</v>
      </c>
      <c r="C21" s="53">
        <f>C8</f>
        <v>-139206</v>
      </c>
      <c r="D21" s="53">
        <f>D8</f>
        <v>-139206</v>
      </c>
      <c r="E21" s="53">
        <f>E8</f>
        <v>-139206</v>
      </c>
      <c r="F21" s="53">
        <f>F8</f>
        <v>-139206</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&amp;L&amp;"Calibri,Bold"10_SBC_Shares&amp;R&amp;P / &amp;N</oddHeader>
    <oddFooter>&amp;LInternal model — not investment advice&amp;RAs-of 2026-10-06</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563EB"/>
    <pageSetUpPr fitToPage="1"/>
  </sheetPr>
  <dimension ref="A1:F18"/>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6" ht="22.05" customHeight="1" x14ac:dyDescent="0.4">
      <c r="A1" s="91" t="s">
        <v>717</v>
      </c>
      <c r="B1" s="91"/>
      <c r="C1" s="91"/>
      <c r="D1" s="91"/>
      <c r="E1" s="91"/>
      <c r="F1" s="91"/>
    </row>
    <row r="2" spans="1:6" x14ac:dyDescent="0.3">
      <c r="A2" s="92" t="s">
        <v>718</v>
      </c>
      <c r="B2" s="92"/>
      <c r="C2" s="92"/>
      <c r="D2" s="92"/>
      <c r="E2" s="92"/>
      <c r="F2" s="92"/>
    </row>
    <row r="3" spans="1:6" x14ac:dyDescent="0.3">
      <c r="A3" s="1" t="s">
        <v>719</v>
      </c>
    </row>
    <row r="4" spans="1:6" ht="19.95" customHeight="1" x14ac:dyDescent="0.3">
      <c r="A4" s="2" t="s">
        <v>634</v>
      </c>
      <c r="B4" s="2" t="s">
        <v>76</v>
      </c>
      <c r="C4" s="2" t="s">
        <v>596</v>
      </c>
      <c r="D4" s="2" t="s">
        <v>597</v>
      </c>
      <c r="E4" s="2" t="s">
        <v>598</v>
      </c>
      <c r="F4" s="2" t="s">
        <v>576</v>
      </c>
    </row>
    <row r="5" spans="1:6" ht="19.95" customHeight="1" x14ac:dyDescent="0.3">
      <c r="A5" s="11" t="s">
        <v>635</v>
      </c>
      <c r="B5" s="11" t="s">
        <v>76</v>
      </c>
      <c r="C5" s="11" t="s">
        <v>596</v>
      </c>
      <c r="D5" s="11" t="s">
        <v>597</v>
      </c>
      <c r="E5" s="11" t="s">
        <v>598</v>
      </c>
      <c r="F5" s="11" t="s">
        <v>576</v>
      </c>
    </row>
    <row r="6" spans="1:6" x14ac:dyDescent="0.3">
      <c r="A6" s="33" t="s">
        <v>720</v>
      </c>
      <c r="B6" s="18">
        <v>24300</v>
      </c>
    </row>
    <row r="7" spans="1:6" x14ac:dyDescent="0.3">
      <c r="A7" s="33" t="s">
        <v>721</v>
      </c>
      <c r="B7" s="18">
        <v>100918</v>
      </c>
    </row>
    <row r="9" spans="1:6" x14ac:dyDescent="0.3">
      <c r="A9" s="3" t="s">
        <v>722</v>
      </c>
      <c r="B9" s="36">
        <f>Pretax_FY2026</f>
        <v>209700.68171508529</v>
      </c>
      <c r="C9" s="36">
        <f>Pretax_FY2027</f>
        <v>246354.5433851743</v>
      </c>
      <c r="D9" s="36">
        <f>Pretax_FY2028</f>
        <v>287869.01463200606</v>
      </c>
      <c r="E9" s="36">
        <f>Pretax_FY2029</f>
        <v>338212.23828027816</v>
      </c>
      <c r="F9" s="36">
        <f>Pretax_FY2030</f>
        <v>398973.93442042242</v>
      </c>
    </row>
    <row r="10" spans="1:6" x14ac:dyDescent="0.3">
      <c r="A10" s="3" t="s">
        <v>723</v>
      </c>
      <c r="B10" s="36">
        <f>IF(B9&gt;B7,B6+Assumption_effective_tax_rate*(B9-B7),B6)</f>
        <v>38901.355453207325</v>
      </c>
      <c r="C10" s="36">
        <f>IF(C9&gt;0,Assumption_effective_tax_rate*C9,0)</f>
        <v>33066.938585875025</v>
      </c>
      <c r="D10" s="36">
        <f>IF(D9&gt;0,Assumption_effective_tax_rate*D9,0)</f>
        <v>38639.218488981016</v>
      </c>
      <c r="E10" s="36">
        <f>IF(E9&gt;0,Assumption_effective_tax_rate*E9,0)</f>
        <v>45396.53768317034</v>
      </c>
      <c r="F10" s="36">
        <f>IF(F9&gt;0,Assumption_effective_tax_rate*F9,0)</f>
        <v>53552.276347581203</v>
      </c>
    </row>
    <row r="11" spans="1:6" x14ac:dyDescent="0.3">
      <c r="A11" s="3" t="s">
        <v>724</v>
      </c>
      <c r="B11" s="51">
        <f>IF(B9&lt;=0,"n/m",B10/B9)</f>
        <v>0.18550896036695558</v>
      </c>
      <c r="C11" s="51">
        <f>IF(C9&lt;=0,"n/m",C10/C9)</f>
        <v>0.13422500000000001</v>
      </c>
      <c r="D11" s="51">
        <f>IF(D9&lt;=0,"n/m",D10/D9)</f>
        <v>0.13422500000000001</v>
      </c>
      <c r="E11" s="51">
        <f>IF(E9&lt;=0,"n/m",E10/E9)</f>
        <v>0.13422500000000001</v>
      </c>
      <c r="F11" s="51">
        <f>IF(F9&lt;=0,"n/m",F10/F9)</f>
        <v>0.13422500000000001</v>
      </c>
    </row>
    <row r="12" spans="1:6" x14ac:dyDescent="0.3">
      <c r="A12" s="3" t="s">
        <v>725</v>
      </c>
      <c r="B12" s="37" t="str">
        <f>IF(B9-B7&gt;0,IF(ABS((B10-B6)/(B9-B7)-Assumption_effective_tax_rate)&lt;=0.000001,"OK","BREAK"),"n/m")</f>
        <v>OK</v>
      </c>
      <c r="C12" s="37" t="str">
        <f>IF(C9&gt;0,IF(ABS(C10/C9-Assumption_effective_tax_rate)&lt;=0.000001,"OK","BREAK"),"n/m")</f>
        <v>OK</v>
      </c>
      <c r="D12" s="37" t="str">
        <f>IF(D9&gt;0,IF(ABS(D10/D9-Assumption_effective_tax_rate)&lt;=0.000001,"OK","BREAK"),"n/m")</f>
        <v>OK</v>
      </c>
      <c r="E12" s="37" t="str">
        <f>IF(E9&gt;0,IF(ABS(E10/E9-Assumption_effective_tax_rate)&lt;=0.000001,"OK","BREAK"),"n/m")</f>
        <v>OK</v>
      </c>
      <c r="F12" s="37" t="str">
        <f>IF(F9&gt;0,IF(ABS(F10/F9-Assumption_effective_tax_rate)&lt;=0.000001,"OK","BREAK"),"n/m")</f>
        <v>OK</v>
      </c>
    </row>
    <row r="13" spans="1:6" x14ac:dyDescent="0.3">
      <c r="A13" s="3" t="s">
        <v>726</v>
      </c>
      <c r="B13" s="18">
        <v>0</v>
      </c>
      <c r="C13" s="18">
        <v>0</v>
      </c>
      <c r="D13" s="18">
        <v>0</v>
      </c>
      <c r="E13" s="18">
        <v>0</v>
      </c>
      <c r="F13" s="18">
        <v>0</v>
      </c>
    </row>
    <row r="15" spans="1:6" ht="19.95" customHeight="1" x14ac:dyDescent="0.3">
      <c r="A15" s="11" t="s">
        <v>652</v>
      </c>
      <c r="B15" s="11" t="s">
        <v>76</v>
      </c>
      <c r="C15" s="11" t="s">
        <v>596</v>
      </c>
      <c r="D15" s="11" t="s">
        <v>597</v>
      </c>
      <c r="E15" s="11" t="s">
        <v>598</v>
      </c>
      <c r="F15" s="11" t="s">
        <v>576</v>
      </c>
    </row>
    <row r="16" spans="1:6" x14ac:dyDescent="0.3">
      <c r="A16" s="33" t="s">
        <v>727</v>
      </c>
      <c r="B16" s="18">
        <v>209700.68171508529</v>
      </c>
      <c r="C16" s="18">
        <v>246354.5433851743</v>
      </c>
      <c r="D16" s="18">
        <v>287869.01463200606</v>
      </c>
      <c r="E16" s="18">
        <v>338212.23828027816</v>
      </c>
      <c r="F16" s="18">
        <v>398973.93442042265</v>
      </c>
    </row>
    <row r="17" spans="1:6" x14ac:dyDescent="0.3">
      <c r="A17" s="33" t="s">
        <v>728</v>
      </c>
      <c r="B17" s="18">
        <v>38901.355453207325</v>
      </c>
      <c r="C17" s="18">
        <v>33066.938585875025</v>
      </c>
      <c r="D17" s="18">
        <v>38639.218488981016</v>
      </c>
      <c r="E17" s="18">
        <v>45396.53768317034</v>
      </c>
      <c r="F17" s="18">
        <v>53552.276347581232</v>
      </c>
    </row>
    <row r="18" spans="1:6" x14ac:dyDescent="0.3">
      <c r="A18" s="33" t="s">
        <v>729</v>
      </c>
      <c r="B18" s="18">
        <v>0.18550896036695558</v>
      </c>
      <c r="C18" s="18">
        <v>0.13422500000000001</v>
      </c>
      <c r="D18" s="18">
        <v>0.13422500000000001</v>
      </c>
      <c r="E18" s="18">
        <v>0.13422500000000001</v>
      </c>
      <c r="F18" s="18">
        <v>0.13422500000000001</v>
      </c>
    </row>
  </sheetData>
  <sheetProtection sheet="1" formatCells="0" formatColumns="0" formatRows="0" insertRows="0" deleteRows="0" sort="0" autoFilter="0"/>
  <mergeCells count="2">
    <mergeCell ref="A1:F1"/>
    <mergeCell ref="A2:F2"/>
  </mergeCells>
  <pageMargins left="0.7" right="0.7" top="0.75" bottom="0.75" header="0.3" footer="0.3"/>
  <pageSetup fitToHeight="0" orientation="landscape" useFirstPageNumber="1" horizontalDpi="4294967295" verticalDpi="4294967295"/>
  <headerFooter>
    <oddHeader>&amp;L&amp;"Calibri,Bold"11_Taxes&amp;R&amp;P / &amp;N</oddHeader>
    <oddFooter>&amp;LInternal model — not investment advice&amp;RAs-of 2026-10-06</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C3AED"/>
    <pageSetUpPr fitToPage="1"/>
  </sheetPr>
  <dimension ref="A1:F56"/>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52" customWidth="1"/>
    <col min="2" max="6" width="14" customWidth="1"/>
  </cols>
  <sheetData>
    <row r="1" spans="1:6" ht="22.05" customHeight="1" x14ac:dyDescent="0.4">
      <c r="A1" s="91" t="s">
        <v>730</v>
      </c>
      <c r="B1" s="91"/>
      <c r="C1" s="91"/>
      <c r="D1" s="91"/>
      <c r="E1" s="91"/>
      <c r="F1" s="91"/>
    </row>
    <row r="2" spans="1:6" x14ac:dyDescent="0.3">
      <c r="A2" s="92" t="s">
        <v>731</v>
      </c>
      <c r="B2" s="92"/>
      <c r="C2" s="92"/>
      <c r="D2" s="92"/>
      <c r="E2" s="92"/>
      <c r="F2" s="92"/>
    </row>
    <row r="3" spans="1:6" x14ac:dyDescent="0.3">
      <c r="A3" s="92" t="s">
        <v>732</v>
      </c>
      <c r="B3" s="92"/>
      <c r="C3" s="92"/>
      <c r="D3" s="92"/>
      <c r="E3" s="92"/>
      <c r="F3" s="92"/>
    </row>
    <row r="4" spans="1:6" ht="19.95" customHeight="1" x14ac:dyDescent="0.3">
      <c r="A4" s="2" t="s">
        <v>730</v>
      </c>
      <c r="B4" s="2" t="s">
        <v>76</v>
      </c>
      <c r="C4" s="2" t="s">
        <v>596</v>
      </c>
      <c r="D4" s="2" t="s">
        <v>597</v>
      </c>
      <c r="E4" s="2" t="s">
        <v>598</v>
      </c>
      <c r="F4" s="2" t="s">
        <v>576</v>
      </c>
    </row>
    <row r="5" spans="1:6" ht="18" customHeight="1" x14ac:dyDescent="0.3">
      <c r="A5" s="29" t="s">
        <v>459</v>
      </c>
    </row>
    <row r="6" spans="1:6" x14ac:dyDescent="0.3">
      <c r="A6" s="38" t="s">
        <v>733</v>
      </c>
      <c r="B6" s="35">
        <f>RevTotal_FY2026</f>
        <v>1193853.5172095529</v>
      </c>
      <c r="C6" s="35">
        <f>RevTotal_FY2027</f>
        <v>1377535.0995977772</v>
      </c>
      <c r="D6" s="35">
        <f>RevTotal_FY2028</f>
        <v>1602770.4138352654</v>
      </c>
      <c r="E6" s="35">
        <f>RevTotal_FY2029</f>
        <v>1870583.1094839473</v>
      </c>
      <c r="F6" s="35">
        <f>RevTotal_FY2030</f>
        <v>2188445.0339338607</v>
      </c>
    </row>
    <row r="7" spans="1:6" ht="18" customHeight="1" x14ac:dyDescent="0.3">
      <c r="A7" s="29" t="s">
        <v>521</v>
      </c>
    </row>
    <row r="8" spans="1:6" x14ac:dyDescent="0.3">
      <c r="A8" s="33" t="s">
        <v>642</v>
      </c>
      <c r="B8" s="36">
        <f>COGS_FY2026</f>
        <v>328154.5894339896</v>
      </c>
      <c r="C8" s="36">
        <f>COGS_FY2027</f>
        <v>382533.23194770515</v>
      </c>
      <c r="D8" s="36">
        <f>COGS_FY2028</f>
        <v>445079.72729957022</v>
      </c>
      <c r="E8" s="36">
        <f>COGS_FY2029</f>
        <v>519449.70600503526</v>
      </c>
      <c r="F8" s="36">
        <f>COGS_FY2030</f>
        <v>607718.05525322945</v>
      </c>
    </row>
    <row r="9" spans="1:6" x14ac:dyDescent="0.3">
      <c r="A9" s="38" t="s">
        <v>162</v>
      </c>
      <c r="B9" s="35">
        <f>B6-B8</f>
        <v>865698.92777556332</v>
      </c>
      <c r="C9" s="35">
        <f>C6-C8</f>
        <v>995001.86765007209</v>
      </c>
      <c r="D9" s="35">
        <f>D6-D8</f>
        <v>1157690.6865356951</v>
      </c>
      <c r="E9" s="35">
        <f>E6-E8</f>
        <v>1351133.4034789121</v>
      </c>
      <c r="F9" s="35">
        <f>F6-F8</f>
        <v>1580726.9786806311</v>
      </c>
    </row>
    <row r="10" spans="1:6" x14ac:dyDescent="0.3">
      <c r="A10" s="33" t="s">
        <v>643</v>
      </c>
      <c r="B10" s="54">
        <f>B9/B6</f>
        <v>0.72512993872062292</v>
      </c>
      <c r="C10" s="54">
        <f>C9/C6</f>
        <v>0.722306</v>
      </c>
      <c r="D10" s="54">
        <f>D9/D6</f>
        <v>0.72230599999999989</v>
      </c>
      <c r="E10" s="54">
        <f>E9/E6</f>
        <v>0.722306</v>
      </c>
      <c r="F10" s="54">
        <f>F9/F6</f>
        <v>0.722306</v>
      </c>
    </row>
    <row r="11" spans="1:6" x14ac:dyDescent="0.3">
      <c r="A11" s="33" t="s">
        <v>164</v>
      </c>
      <c r="B11" s="36">
        <f>RnD_FY2026</f>
        <v>353317.96832570748</v>
      </c>
      <c r="C11" s="36">
        <f>RnD_FY2027</f>
        <v>406684.17731385335</v>
      </c>
      <c r="D11" s="36">
        <f>RnD_FY2028</f>
        <v>473179.49819493009</v>
      </c>
      <c r="E11" s="36">
        <f>RnD_FY2029</f>
        <v>552244.7690805078</v>
      </c>
      <c r="F11" s="36">
        <f>RnD_FY2030</f>
        <v>646085.87358815793</v>
      </c>
    </row>
    <row r="12" spans="1:6" x14ac:dyDescent="0.3">
      <c r="A12" s="33" t="s">
        <v>166</v>
      </c>
      <c r="B12" s="36">
        <f>SnM_FY2026</f>
        <v>152346.16021448988</v>
      </c>
      <c r="C12" s="36">
        <f>SnM_FY2027</f>
        <v>166852.56140368117</v>
      </c>
      <c r="D12" s="36">
        <f>SnM_FY2028</f>
        <v>194133.96360538268</v>
      </c>
      <c r="E12" s="36">
        <f>SnM_FY2029</f>
        <v>226572.50855313361</v>
      </c>
      <c r="F12" s="36">
        <f>SnM_FY2030</f>
        <v>265073.21629020496</v>
      </c>
    </row>
    <row r="13" spans="1:6" x14ac:dyDescent="0.3">
      <c r="A13" s="33" t="s">
        <v>168</v>
      </c>
      <c r="B13" s="36">
        <f>GnA_FY2026</f>
        <v>202719.51340180021</v>
      </c>
      <c r="C13" s="36">
        <f>GnA_FY2027</f>
        <v>241479.14788929117</v>
      </c>
      <c r="D13" s="36">
        <f>GnA_FY2028</f>
        <v>280962.44800449436</v>
      </c>
      <c r="E13" s="36">
        <f>GnA_FY2029</f>
        <v>327909.47792631702</v>
      </c>
      <c r="F13" s="36">
        <f>GnA_FY2030</f>
        <v>383630.03755853791</v>
      </c>
    </row>
    <row r="14" spans="1:6" x14ac:dyDescent="0.3">
      <c r="A14" s="38" t="s">
        <v>170</v>
      </c>
      <c r="B14" s="35">
        <f>B11+B12+B13</f>
        <v>708383.64194199757</v>
      </c>
      <c r="C14" s="35">
        <f>C11+C12+C13</f>
        <v>815015.88660682575</v>
      </c>
      <c r="D14" s="35">
        <f>D11+D12+D13</f>
        <v>948275.90980480704</v>
      </c>
      <c r="E14" s="35">
        <f>E11+E12+E13</f>
        <v>1106726.7555599585</v>
      </c>
      <c r="F14" s="35">
        <f>F11+F12+F13</f>
        <v>1294789.1274369007</v>
      </c>
    </row>
    <row r="15" spans="1:6" x14ac:dyDescent="0.3">
      <c r="A15" s="38" t="s">
        <v>734</v>
      </c>
      <c r="B15" s="35">
        <f>B9-B14</f>
        <v>157315.28583356575</v>
      </c>
      <c r="C15" s="35">
        <f>C9-C14</f>
        <v>179985.98104324634</v>
      </c>
      <c r="D15" s="35">
        <f>D9-D14</f>
        <v>209414.77673088806</v>
      </c>
      <c r="E15" s="35">
        <f>E9-E14</f>
        <v>244406.64791895356</v>
      </c>
      <c r="F15" s="35">
        <f>F9-F14</f>
        <v>285937.8512437304</v>
      </c>
    </row>
    <row r="16" spans="1:6" ht="18" customHeight="1" x14ac:dyDescent="0.3">
      <c r="A16" s="29" t="s">
        <v>735</v>
      </c>
    </row>
    <row r="17" spans="1:6" x14ac:dyDescent="0.3">
      <c r="A17" s="33" t="s">
        <v>649</v>
      </c>
      <c r="B17" s="36">
        <f>OtherIncNet_FY2026</f>
        <v>-260.07616580798333</v>
      </c>
      <c r="C17" s="36">
        <f>OtherIncNet_FY2027</f>
        <v>2136.5569394761528</v>
      </c>
      <c r="D17" s="36">
        <f>OtherIncNet_FY2028</f>
        <v>2485.8969118584969</v>
      </c>
      <c r="E17" s="36">
        <f>OtherIncNet_FY2029</f>
        <v>2901.2744028096022</v>
      </c>
      <c r="F17" s="36">
        <f>OtherIncNet_FY2030</f>
        <v>3394.2782476314183</v>
      </c>
    </row>
    <row r="18" spans="1:6" x14ac:dyDescent="0.3">
      <c r="A18" s="33" t="s">
        <v>182</v>
      </c>
      <c r="B18" s="36">
        <f>IS_InterestSolve_FY2026</f>
        <v>52645.472047327523</v>
      </c>
      <c r="C18" s="36">
        <f>IS_InterestSolve_FY2027</f>
        <v>64232.00540245181</v>
      </c>
      <c r="D18" s="36">
        <f>IS_InterestSolve_FY2028</f>
        <v>75968.340989259479</v>
      </c>
      <c r="E18" s="36">
        <f>IS_InterestSolve_FY2029</f>
        <v>90904.315958515013</v>
      </c>
      <c r="F18" s="36">
        <f>IS_InterestSolve_FY2030</f>
        <v>109641.80492906057</v>
      </c>
    </row>
    <row r="19" spans="1:6" x14ac:dyDescent="0.3">
      <c r="A19" s="38" t="s">
        <v>736</v>
      </c>
      <c r="B19" s="35">
        <f>B15+B17+B18</f>
        <v>209700.68171508529</v>
      </c>
      <c r="C19" s="35">
        <f>C15+C17+C18</f>
        <v>246354.5433851743</v>
      </c>
      <c r="D19" s="35">
        <f>D15+D17+D18</f>
        <v>287869.01463200606</v>
      </c>
      <c r="E19" s="35">
        <f>E15+E17+E18</f>
        <v>338212.23828027816</v>
      </c>
      <c r="F19" s="35">
        <f>F15+F17+F18</f>
        <v>398973.93442042242</v>
      </c>
    </row>
    <row r="20" spans="1:6" x14ac:dyDescent="0.3">
      <c r="A20" s="33" t="s">
        <v>737</v>
      </c>
      <c r="B20" s="36">
        <f>Tax_FY2026</f>
        <v>38901.355453207325</v>
      </c>
      <c r="C20" s="36">
        <f>Tax_FY2027</f>
        <v>33066.938585875025</v>
      </c>
      <c r="D20" s="36">
        <f>Tax_FY2028</f>
        <v>38639.218488981016</v>
      </c>
      <c r="E20" s="36">
        <f>Tax_FY2029</f>
        <v>45396.53768317034</v>
      </c>
      <c r="F20" s="36">
        <f>Tax_FY2030</f>
        <v>53552.276347581203</v>
      </c>
    </row>
    <row r="21" spans="1:6" x14ac:dyDescent="0.3">
      <c r="A21" s="38" t="s">
        <v>433</v>
      </c>
      <c r="B21" s="35">
        <f>B19-B20</f>
        <v>170799.32626187796</v>
      </c>
      <c r="C21" s="35">
        <f>C19-C20</f>
        <v>213287.60479929927</v>
      </c>
      <c r="D21" s="35">
        <f>D19-D20</f>
        <v>249229.79614302504</v>
      </c>
      <c r="E21" s="35">
        <f>E19-E20</f>
        <v>292815.70059710782</v>
      </c>
      <c r="F21" s="35">
        <f>F19-F20</f>
        <v>345421.65807284124</v>
      </c>
    </row>
    <row r="22" spans="1:6" x14ac:dyDescent="0.3">
      <c r="A22" s="33" t="s">
        <v>738</v>
      </c>
      <c r="B22" s="54">
        <f>B21/B6</f>
        <v>0.14306556357189854</v>
      </c>
      <c r="C22" s="54">
        <f>C21/C6</f>
        <v>0.15483279145596837</v>
      </c>
      <c r="D22" s="54">
        <f>D21/D6</f>
        <v>0.15549937407856418</v>
      </c>
      <c r="E22" s="54">
        <f>E21/E6</f>
        <v>0.15653712423282237</v>
      </c>
      <c r="F22" s="54">
        <f>F21/F6</f>
        <v>0.15783885485664914</v>
      </c>
    </row>
    <row r="24" spans="1:6" ht="19.95" customHeight="1" x14ac:dyDescent="0.3">
      <c r="A24" s="11" t="s">
        <v>652</v>
      </c>
      <c r="B24" s="11" t="s">
        <v>76</v>
      </c>
      <c r="C24" s="11" t="s">
        <v>596</v>
      </c>
      <c r="D24" s="11" t="s">
        <v>597</v>
      </c>
      <c r="E24" s="11" t="s">
        <v>598</v>
      </c>
      <c r="F24" s="11" t="s">
        <v>576</v>
      </c>
    </row>
    <row r="25" spans="1:6" x14ac:dyDescent="0.3">
      <c r="A25" s="33" t="s">
        <v>739</v>
      </c>
      <c r="B25" s="18">
        <v>1193853.5172095529</v>
      </c>
      <c r="C25" s="18">
        <v>1377535.0995977772</v>
      </c>
      <c r="D25" s="18">
        <v>1602770.4138352657</v>
      </c>
      <c r="E25" s="18">
        <v>1870583.1094839473</v>
      </c>
      <c r="F25" s="18">
        <v>2188445.0339338612</v>
      </c>
    </row>
    <row r="26" spans="1:6" x14ac:dyDescent="0.3">
      <c r="A26" s="33" t="s">
        <v>740</v>
      </c>
      <c r="B26" s="18">
        <v>157315.28583356575</v>
      </c>
      <c r="C26" s="18">
        <v>179985.98104324634</v>
      </c>
      <c r="D26" s="18">
        <v>209414.77673088806</v>
      </c>
      <c r="E26" s="18">
        <v>244406.64791895356</v>
      </c>
      <c r="F26" s="18">
        <v>285937.85124373063</v>
      </c>
    </row>
    <row r="27" spans="1:6" x14ac:dyDescent="0.3">
      <c r="A27" s="33" t="s">
        <v>741</v>
      </c>
      <c r="B27" s="18">
        <v>52645.472047327523</v>
      </c>
      <c r="C27" s="18">
        <v>64232.00540245181</v>
      </c>
      <c r="D27" s="18">
        <v>75968.340989259479</v>
      </c>
      <c r="E27" s="18">
        <v>90904.315958515013</v>
      </c>
      <c r="F27" s="18">
        <v>109641.80492906058</v>
      </c>
    </row>
    <row r="28" spans="1:6" x14ac:dyDescent="0.3">
      <c r="A28" s="33" t="s">
        <v>727</v>
      </c>
      <c r="B28" s="18">
        <v>209700.68171508529</v>
      </c>
      <c r="C28" s="18">
        <v>246354.5433851743</v>
      </c>
      <c r="D28" s="18">
        <v>287869.01463200606</v>
      </c>
      <c r="E28" s="18">
        <v>338212.23828027816</v>
      </c>
      <c r="F28" s="18">
        <v>398973.93442042265</v>
      </c>
    </row>
    <row r="29" spans="1:6" x14ac:dyDescent="0.3">
      <c r="A29" s="33" t="s">
        <v>728</v>
      </c>
      <c r="B29" s="18">
        <v>38901.355453207325</v>
      </c>
      <c r="C29" s="18">
        <v>33066.938585875025</v>
      </c>
      <c r="D29" s="18">
        <v>38639.218488981016</v>
      </c>
      <c r="E29" s="18">
        <v>45396.53768317034</v>
      </c>
      <c r="F29" s="18">
        <v>53552.276347581232</v>
      </c>
    </row>
    <row r="30" spans="1:6" x14ac:dyDescent="0.3">
      <c r="A30" s="33" t="s">
        <v>742</v>
      </c>
      <c r="B30" s="18">
        <v>170799.32626187796</v>
      </c>
      <c r="C30" s="18">
        <v>213287.60479929927</v>
      </c>
      <c r="D30" s="18">
        <v>249229.79614302504</v>
      </c>
      <c r="E30" s="18">
        <v>292815.70059710782</v>
      </c>
      <c r="F30" s="18">
        <v>345421.65807284141</v>
      </c>
    </row>
    <row r="32" spans="1:6" ht="15.6" x14ac:dyDescent="0.3">
      <c r="A32" s="29" t="s">
        <v>743</v>
      </c>
    </row>
    <row r="33" spans="1:6" ht="19.95" customHeight="1" x14ac:dyDescent="0.3">
      <c r="A33" s="11" t="s">
        <v>744</v>
      </c>
      <c r="B33" s="11" t="s">
        <v>76</v>
      </c>
      <c r="C33" s="11" t="s">
        <v>596</v>
      </c>
      <c r="D33" s="11" t="s">
        <v>597</v>
      </c>
      <c r="E33" s="11" t="s">
        <v>598</v>
      </c>
      <c r="F33" s="11" t="s">
        <v>576</v>
      </c>
    </row>
    <row r="34" spans="1:6" x14ac:dyDescent="0.3">
      <c r="A34" s="33" t="s">
        <v>745</v>
      </c>
      <c r="B34" s="53">
        <f>BSQ2_Cash</f>
        <v>1180887</v>
      </c>
      <c r="C34" s="53">
        <f>CF_EndCash_FY2026</f>
        <v>1235194.973501334</v>
      </c>
      <c r="D34" s="53">
        <f>CF_EndCash_FY2027</f>
        <v>1490753.4131908091</v>
      </c>
      <c r="E34" s="53">
        <f>CF_EndCash_FY2028</f>
        <v>1819397.4467738227</v>
      </c>
      <c r="F34" s="53">
        <f>CF_EndCash_FY2029</f>
        <v>2234225.1257399283</v>
      </c>
    </row>
    <row r="35" spans="1:6" x14ac:dyDescent="0.3">
      <c r="A35" s="33" t="s">
        <v>746</v>
      </c>
      <c r="B35" s="36">
        <f>(B15-(H1Revenue_FY2026-H1COGS_FY2026-H1RnD_FY2026-H1SnM_FY2026-H1GnA_FY2026))</f>
        <v>78843.285833565751</v>
      </c>
      <c r="C35" s="36">
        <f>C15</f>
        <v>179985.98104324634</v>
      </c>
      <c r="D35" s="36">
        <f>D15</f>
        <v>209414.77673088806</v>
      </c>
      <c r="E35" s="36">
        <f>E15</f>
        <v>244406.64791895356</v>
      </c>
      <c r="F35" s="36">
        <f>F15</f>
        <v>285937.8512437304</v>
      </c>
    </row>
    <row r="36" spans="1:6" x14ac:dyDescent="0.3">
      <c r="A36" s="33" t="s">
        <v>747</v>
      </c>
      <c r="B36" s="36">
        <f>(B17-H1Other_FY2026)</f>
        <v>935.92383419201667</v>
      </c>
      <c r="C36" s="36">
        <f>C17</f>
        <v>2136.5569394761528</v>
      </c>
      <c r="D36" s="36">
        <f>D17</f>
        <v>2485.8969118584969</v>
      </c>
      <c r="E36" s="36">
        <f>E17</f>
        <v>2901.2744028096022</v>
      </c>
      <c r="F36" s="36">
        <f>F17</f>
        <v>3394.2782476314183</v>
      </c>
    </row>
    <row r="37" spans="1:6" x14ac:dyDescent="0.3">
      <c r="A37" s="33" t="s">
        <v>748</v>
      </c>
      <c r="B37" s="36">
        <f>(B35+B36)*(1-Assumption_effective_tax_rate)</f>
        <v>69070.845250102982</v>
      </c>
      <c r="C37" s="36">
        <f>(C35+C36)*(1-Assumption_effective_tax_rate)</f>
        <v>157677.14032199155</v>
      </c>
      <c r="D37" s="36">
        <f>(D35+D36)*(1-Assumption_effective_tax_rate)</f>
        <v>183458.30572304889</v>
      </c>
      <c r="E37" s="36">
        <f>(E35+E36)*(1-Assumption_effective_tax_rate)</f>
        <v>214113.01644812449</v>
      </c>
      <c r="F37" s="36">
        <f>(F35+F36)*(1-Assumption_effective_tax_rate)</f>
        <v>250496.5244103838</v>
      </c>
    </row>
    <row r="38" spans="1:6" x14ac:dyDescent="0.3">
      <c r="A38" s="33" t="s">
        <v>749</v>
      </c>
      <c r="B38" s="36">
        <f>DepBasis_FY2026+AmortBasis_FY2026</f>
        <v>8297.2819446063932</v>
      </c>
      <c r="C38" s="36">
        <f>DepBasis_FY2027+AmortBasis_FY2027</f>
        <v>19147.737884409104</v>
      </c>
      <c r="D38" s="36">
        <f>DepBasis_FY2028+AmortBasis_FY2028</f>
        <v>22278.50875231019</v>
      </c>
      <c r="E38" s="36">
        <f>DepBasis_FY2029+AmortBasis_FY2029</f>
        <v>26001.105221826867</v>
      </c>
      <c r="F38" s="36">
        <f>DepBasis_FY2030+AmortBasis_FY2030</f>
        <v>30419.385971680662</v>
      </c>
    </row>
    <row r="39" spans="1:6" x14ac:dyDescent="0.3">
      <c r="A39" s="33" t="s">
        <v>750</v>
      </c>
      <c r="B39" s="36">
        <f>SBCBasis_FY2026</f>
        <v>79092.795515132879</v>
      </c>
      <c r="C39" s="36">
        <f>SBCBasis_FY2027</f>
        <v>182523.4006967055</v>
      </c>
      <c r="D39" s="36">
        <f>SBCBasis_FY2028</f>
        <v>212367.07983317267</v>
      </c>
      <c r="E39" s="36">
        <f>SBCBasis_FY2029</f>
        <v>247852.26200662303</v>
      </c>
      <c r="F39" s="36">
        <f>SBCBasis_FY2030</f>
        <v>289968.96699623659</v>
      </c>
    </row>
    <row r="40" spans="1:6" x14ac:dyDescent="0.3">
      <c r="A40" s="33" t="s">
        <v>751</v>
      </c>
      <c r="B40" s="36">
        <f>NWC_FY2026-NWC_Opening_Q2FY26</f>
        <v>27378.063793117122</v>
      </c>
      <c r="C40" s="36">
        <f>NWC_FY2027-NWC_FY2026</f>
        <v>-45219.622938442568</v>
      </c>
      <c r="D40" s="36">
        <f>NWC_FY2028-NWC_FY2027</f>
        <v>-55334.787779756822</v>
      </c>
      <c r="E40" s="36">
        <f>NWC_FY2029-NWC_FY2028</f>
        <v>-65795.005230924464</v>
      </c>
      <c r="F40" s="36">
        <f>NWC_FY2030-NWC_FY2029</f>
        <v>-78090.872171827243</v>
      </c>
    </row>
    <row r="41" spans="1:6" x14ac:dyDescent="0.3">
      <c r="A41" s="33" t="s">
        <v>752</v>
      </c>
      <c r="B41" s="36">
        <f>B37+B38+B39-B40</f>
        <v>129082.85891672515</v>
      </c>
      <c r="C41" s="36">
        <f>C37+C38+C39-C40</f>
        <v>404567.90184154874</v>
      </c>
      <c r="D41" s="36">
        <f>D37+D38+D39-D40</f>
        <v>473438.68208828859</v>
      </c>
      <c r="E41" s="36">
        <f>E37+E38+E39-E40</f>
        <v>553761.38890749891</v>
      </c>
      <c r="F41" s="36">
        <f>F37+F38+F39-F40</f>
        <v>648975.74955012824</v>
      </c>
    </row>
    <row r="42" spans="1:6" x14ac:dyDescent="0.3">
      <c r="A42" s="33" t="s">
        <v>753</v>
      </c>
      <c r="B42" s="36">
        <f>-(CapexPPEBasis_FY2026+CapSoftBasis_FY2026)</f>
        <v>-15758.866427166098</v>
      </c>
      <c r="C42" s="36">
        <f>-(CapexPPEBasis_FY2027+CapSoftBasis_FY2027)</f>
        <v>-36366.926629381313</v>
      </c>
      <c r="D42" s="36">
        <f>-(CapexPPEBasis_FY2028+CapSoftBasis_FY2028)</f>
        <v>-42313.138925251005</v>
      </c>
      <c r="E42" s="36">
        <f>-(CapexPPEBasis_FY2029+CapSoftBasis_FY2029)</f>
        <v>-49383.394090376205</v>
      </c>
      <c r="F42" s="36">
        <f>-(CapexPPEBasis_FY2030+CapSoftBasis_FY2030)</f>
        <v>-57774.948895853922</v>
      </c>
    </row>
    <row r="43" spans="1:6" x14ac:dyDescent="0.3">
      <c r="A43" s="33" t="s">
        <v>754</v>
      </c>
      <c r="B43" s="36">
        <f>OptionBasis_FY2026+SettlementBasis_FY2026+BuybackBasis_FY2026</f>
        <v>-84126.5</v>
      </c>
      <c r="C43" s="36">
        <f>OptionBasis_FY2027+SettlementBasis_FY2027+BuybackBasis_FY2027</f>
        <v>-168253</v>
      </c>
      <c r="D43" s="36">
        <f>OptionBasis_FY2028+SettlementBasis_FY2028+BuybackBasis_FY2028</f>
        <v>-168253</v>
      </c>
      <c r="E43" s="36">
        <f>OptionBasis_FY2029+SettlementBasis_FY2029+BuybackBasis_FY2029</f>
        <v>-168253</v>
      </c>
      <c r="F43" s="36">
        <f>OptionBasis_FY2030+SettlementBasis_FY2030+BuybackBasis_FY2030</f>
        <v>-168253</v>
      </c>
    </row>
    <row r="44" spans="1:6" x14ac:dyDescent="0.3">
      <c r="A44" s="33" t="s">
        <v>755</v>
      </c>
      <c r="B44" s="36">
        <f>B41+B42+B43</f>
        <v>29197.492489559052</v>
      </c>
      <c r="C44" s="36">
        <f>C41+C42+C43</f>
        <v>199947.97521216742</v>
      </c>
      <c r="D44" s="36">
        <f>D41+D42+D43</f>
        <v>262872.54316303757</v>
      </c>
      <c r="E44" s="36">
        <f>E41+E42+E43</f>
        <v>336124.9948171227</v>
      </c>
      <c r="F44" s="36">
        <f>F41+F42+F43</f>
        <v>422947.8006542743</v>
      </c>
    </row>
    <row r="45" spans="1:6" x14ac:dyDescent="0.3">
      <c r="A45" s="33" t="s">
        <v>756</v>
      </c>
      <c r="B45" s="36">
        <f>B34+B44</f>
        <v>1210084.4924895591</v>
      </c>
      <c r="C45" s="36">
        <f>C34+C44</f>
        <v>1435142.9487135014</v>
      </c>
      <c r="D45" s="36">
        <f>D34+D44</f>
        <v>1753625.9563538467</v>
      </c>
      <c r="E45" s="36">
        <f>E34+E44</f>
        <v>2155522.4415909452</v>
      </c>
      <c r="F45" s="36">
        <f>F34+F44</f>
        <v>2657172.9263942027</v>
      </c>
    </row>
    <row r="46" spans="1:6" x14ac:dyDescent="0.3">
      <c r="A46" s="33" t="s">
        <v>757</v>
      </c>
      <c r="B46" s="36">
        <f>B34+BS_STI_Q2FY26+BS_LTI_Q2FY26</f>
        <v>1416559</v>
      </c>
      <c r="C46" s="36">
        <f>C34+BS_STI_Q2FY26+BS_LTI_Q2FY26</f>
        <v>1470866.973501334</v>
      </c>
      <c r="D46" s="36">
        <f>D34+BS_STI_Q2FY26+BS_LTI_Q2FY26</f>
        <v>1726425.4131908091</v>
      </c>
      <c r="E46" s="36">
        <f>E34+BS_STI_Q2FY26+BS_LTI_Q2FY26</f>
        <v>2055069.4467738227</v>
      </c>
      <c r="F46" s="36">
        <f>F34+BS_STI_Q2FY26+BS_LTI_Q2FY26</f>
        <v>2469897.1257399283</v>
      </c>
    </row>
    <row r="47" spans="1:6" x14ac:dyDescent="0.3">
      <c r="A47" s="33" t="s">
        <v>758</v>
      </c>
      <c r="B47" s="36">
        <f>(B46+B45+BS_STI_Q2FY26+BS_LTI_Q2FY26)/2</f>
        <v>1431157.7462447796</v>
      </c>
      <c r="C47" s="36">
        <f>(C46+C45+BS_STI_Q2FY26+BS_LTI_Q2FY26)/2</f>
        <v>1570840.9611074177</v>
      </c>
      <c r="D47" s="36">
        <f>(D46+D45+BS_STI_Q2FY26+BS_LTI_Q2FY26)/2</f>
        <v>1857861.684772328</v>
      </c>
      <c r="E47" s="36">
        <f>(E46+E45+BS_STI_Q2FY26+BS_LTI_Q2FY26)/2</f>
        <v>2223131.9441823838</v>
      </c>
      <c r="F47" s="36">
        <f>(F46+F45+BS_STI_Q2FY26+BS_LTI_Q2FY26)/2</f>
        <v>2681371.0260670655</v>
      </c>
    </row>
    <row r="48" spans="1:6" x14ac:dyDescent="0.3">
      <c r="A48" s="33" t="s">
        <v>759</v>
      </c>
      <c r="B48" s="51">
        <f>Assumption_interest_income_rate/2</f>
        <v>2.00895E-2</v>
      </c>
      <c r="C48" s="51">
        <f>Assumption_interest_income_rate/1</f>
        <v>4.0178999999999999E-2</v>
      </c>
      <c r="D48" s="51">
        <f>Assumption_interest_income_rate/1</f>
        <v>4.0178999999999999E-2</v>
      </c>
      <c r="E48" s="51">
        <f>Assumption_interest_income_rate/1</f>
        <v>4.0178999999999999E-2</v>
      </c>
      <c r="F48" s="51">
        <f>Assumption_interest_income_rate/1</f>
        <v>4.0178999999999999E-2</v>
      </c>
    </row>
    <row r="49" spans="1:6" x14ac:dyDescent="0.3">
      <c r="A49" s="33" t="s">
        <v>760</v>
      </c>
      <c r="B49" s="36">
        <f>B48*B47/(1-B48*(1-Assumption_effective_tax_rate)/2)</f>
        <v>29003.472047327523</v>
      </c>
      <c r="C49" s="36">
        <f>C48*C47/(1-C48*(1-Assumption_effective_tax_rate)/2)</f>
        <v>64232.00540245181</v>
      </c>
      <c r="D49" s="36">
        <f>D48*D47/(1-D48*(1-Assumption_effective_tax_rate)/2)</f>
        <v>75968.340989259479</v>
      </c>
      <c r="E49" s="36">
        <f>E48*E47/(1-E48*(1-Assumption_effective_tax_rate)/2)</f>
        <v>90904.315958515013</v>
      </c>
      <c r="F49" s="36">
        <f>F48*F47/(1-F48*(1-Assumption_effective_tax_rate)/2)</f>
        <v>109641.80492906057</v>
      </c>
    </row>
    <row r="50" spans="1:6" x14ac:dyDescent="0.3">
      <c r="A50" s="33" t="s">
        <v>761</v>
      </c>
      <c r="B50" s="18">
        <v>23642</v>
      </c>
      <c r="C50" s="30" t="s">
        <v>428</v>
      </c>
      <c r="D50" s="30" t="s">
        <v>428</v>
      </c>
      <c r="E50" s="30" t="s">
        <v>428</v>
      </c>
      <c r="F50" s="30" t="s">
        <v>428</v>
      </c>
    </row>
    <row r="51" spans="1:6" x14ac:dyDescent="0.3">
      <c r="A51" s="33" t="s">
        <v>762</v>
      </c>
      <c r="B51" s="18">
        <v>76618</v>
      </c>
      <c r="C51" s="30" t="s">
        <v>428</v>
      </c>
      <c r="D51" s="30" t="s">
        <v>428</v>
      </c>
      <c r="E51" s="30" t="s">
        <v>428</v>
      </c>
      <c r="F51" s="30" t="s">
        <v>428</v>
      </c>
    </row>
    <row r="52" spans="1:6" x14ac:dyDescent="0.3">
      <c r="A52" s="33" t="s">
        <v>763</v>
      </c>
      <c r="B52" s="18">
        <v>29003.472047327523</v>
      </c>
      <c r="C52" s="18">
        <v>64232.00540245181</v>
      </c>
      <c r="D52" s="18">
        <v>75968.340989259479</v>
      </c>
      <c r="E52" s="18">
        <v>90904.315958515013</v>
      </c>
      <c r="F52" s="18">
        <v>109641.80492906058</v>
      </c>
    </row>
    <row r="53" spans="1:6" x14ac:dyDescent="0.3">
      <c r="A53" s="33" t="s">
        <v>764</v>
      </c>
      <c r="B53" s="37" t="str">
        <f>IF(ABS(B49-B52)&lt;=Tolerance_USD,"OK","BREAK")</f>
        <v>OK</v>
      </c>
      <c r="C53" s="37" t="str">
        <f>IF(ABS(C49-C52)&lt;=Tolerance_USD,"OK","BREAK")</f>
        <v>OK</v>
      </c>
      <c r="D53" s="37" t="str">
        <f>IF(ABS(D49-D52)&lt;=Tolerance_USD,"OK","BREAK")</f>
        <v>OK</v>
      </c>
      <c r="E53" s="37" t="str">
        <f>IF(ABS(E49-E52)&lt;=Tolerance_USD,"OK","BREAK")</f>
        <v>OK</v>
      </c>
      <c r="F53" s="37" t="str">
        <f>IF(ABS(F49-F52)&lt;=Tolerance_USD,"OK","BREAK")</f>
        <v>OK</v>
      </c>
    </row>
    <row r="54" spans="1:6" x14ac:dyDescent="0.3">
      <c r="A54" s="33" t="s">
        <v>765</v>
      </c>
      <c r="B54" s="36">
        <f>B49+B50</f>
        <v>52645.472047327523</v>
      </c>
      <c r="C54" s="36">
        <f>C49</f>
        <v>64232.00540245181</v>
      </c>
      <c r="D54" s="36">
        <f>D49</f>
        <v>75968.340989259479</v>
      </c>
      <c r="E54" s="36">
        <f>E49</f>
        <v>90904.315958515013</v>
      </c>
      <c r="F54" s="36">
        <f>F49</f>
        <v>109641.80492906057</v>
      </c>
    </row>
    <row r="55" spans="1:6" x14ac:dyDescent="0.3">
      <c r="A55" s="33" t="s">
        <v>766</v>
      </c>
      <c r="B55" s="18">
        <v>100918</v>
      </c>
      <c r="C55" s="30" t="s">
        <v>428</v>
      </c>
      <c r="D55" s="30" t="s">
        <v>428</v>
      </c>
      <c r="E55" s="30" t="s">
        <v>428</v>
      </c>
      <c r="F55" s="30" t="s">
        <v>428</v>
      </c>
    </row>
    <row r="56" spans="1:6" x14ac:dyDescent="0.3">
      <c r="A56" s="33" t="s">
        <v>767</v>
      </c>
      <c r="B56" s="37" t="str">
        <f>IF(ABS(Pretax_FY2026-(B55+B35+B36+B49))&lt;=Tolerance_USD,"OK","BREAK")</f>
        <v>OK</v>
      </c>
      <c r="C56" s="30" t="s">
        <v>428</v>
      </c>
      <c r="D56" s="30" t="s">
        <v>428</v>
      </c>
      <c r="E56" s="30" t="s">
        <v>428</v>
      </c>
      <c r="F56" s="30" t="s">
        <v>428</v>
      </c>
    </row>
  </sheetData>
  <sheetProtection sheet="1" formatCells="0" formatColumns="0" formatRows="0" insertRows="0" deleteRows="0" sort="0" autoFilter="0"/>
  <mergeCells count="3">
    <mergeCell ref="A1:F1"/>
    <mergeCell ref="A2:F2"/>
    <mergeCell ref="A3:F3"/>
  </mergeCells>
  <conditionalFormatting sqref="B56">
    <cfRule type="expression" dxfId="75" priority="1">
      <formula>B56="OK"</formula>
    </cfRule>
    <cfRule type="expression" dxfId="74" priority="2">
      <formula>B56="BREAK"</formula>
    </cfRule>
  </conditionalFormatting>
  <pageMargins left="0.7" right="0.7" top="0.75" bottom="0.75" header="0.3" footer="0.3"/>
  <pageSetup fitToHeight="0" orientation="landscape" useFirstPageNumber="1" horizontalDpi="4294967295" verticalDpi="4294967295"/>
  <headerFooter>
    <oddHeader>&amp;L&amp;"Calibri,Bold"12_IS&amp;R&amp;P / &amp;N</oddHeader>
    <oddFooter>&amp;LInternal model — not investment advice&amp;RAs-of 2026-10-06</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C3AED"/>
    <pageSetUpPr fitToPage="1"/>
  </sheetPr>
  <dimension ref="A1:F65"/>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52" customWidth="1"/>
    <col min="2" max="6" width="14" customWidth="1"/>
  </cols>
  <sheetData>
    <row r="1" spans="1:6" ht="22.05" customHeight="1" x14ac:dyDescent="0.4">
      <c r="A1" s="91" t="s">
        <v>768</v>
      </c>
      <c r="B1" s="91"/>
      <c r="C1" s="91"/>
      <c r="D1" s="91"/>
      <c r="E1" s="91"/>
      <c r="F1" s="91"/>
    </row>
    <row r="2" spans="1:6" x14ac:dyDescent="0.3">
      <c r="A2" s="92" t="s">
        <v>769</v>
      </c>
      <c r="B2" s="92"/>
      <c r="C2" s="92"/>
      <c r="D2" s="92"/>
      <c r="E2" s="92"/>
      <c r="F2" s="92"/>
    </row>
    <row r="3" spans="1:6" x14ac:dyDescent="0.3">
      <c r="A3" s="92" t="s">
        <v>770</v>
      </c>
      <c r="B3" s="92"/>
      <c r="C3" s="92"/>
      <c r="D3" s="92"/>
      <c r="E3" s="92"/>
      <c r="F3" s="92"/>
    </row>
    <row r="4" spans="1:6" ht="19.95" customHeight="1" x14ac:dyDescent="0.3">
      <c r="A4" s="2" t="s">
        <v>768</v>
      </c>
      <c r="B4" s="2" t="s">
        <v>76</v>
      </c>
      <c r="C4" s="2" t="s">
        <v>596</v>
      </c>
      <c r="D4" s="2" t="s">
        <v>597</v>
      </c>
      <c r="E4" s="2" t="s">
        <v>598</v>
      </c>
      <c r="F4" s="2" t="s">
        <v>576</v>
      </c>
    </row>
    <row r="5" spans="1:6" ht="18" customHeight="1" x14ac:dyDescent="0.3">
      <c r="A5" s="29" t="s">
        <v>771</v>
      </c>
    </row>
    <row r="6" spans="1:6" ht="15.6" x14ac:dyDescent="0.3">
      <c r="A6" s="29" t="s">
        <v>772</v>
      </c>
    </row>
    <row r="7" spans="1:6" x14ac:dyDescent="0.3">
      <c r="A7" s="33" t="s">
        <v>773</v>
      </c>
      <c r="B7" s="18">
        <v>1180887</v>
      </c>
    </row>
    <row r="8" spans="1:6" x14ac:dyDescent="0.3">
      <c r="A8" s="33" t="s">
        <v>774</v>
      </c>
      <c r="B8" s="18">
        <v>132979</v>
      </c>
    </row>
    <row r="9" spans="1:6" x14ac:dyDescent="0.3">
      <c r="A9" s="33" t="s">
        <v>775</v>
      </c>
      <c r="B9" s="18">
        <v>102693</v>
      </c>
    </row>
    <row r="10" spans="1:6" x14ac:dyDescent="0.3">
      <c r="A10" s="33" t="s">
        <v>776</v>
      </c>
      <c r="B10" s="18">
        <v>74830</v>
      </c>
    </row>
    <row r="11" spans="1:6" x14ac:dyDescent="0.3">
      <c r="A11" s="33" t="s">
        <v>777</v>
      </c>
      <c r="B11" s="18">
        <v>35335</v>
      </c>
    </row>
    <row r="12" spans="1:6" x14ac:dyDescent="0.3">
      <c r="A12" s="33" t="s">
        <v>778</v>
      </c>
      <c r="B12" s="18">
        <v>2735</v>
      </c>
    </row>
    <row r="13" spans="1:6" x14ac:dyDescent="0.3">
      <c r="A13" s="33" t="s">
        <v>779</v>
      </c>
      <c r="B13" s="18">
        <v>206039</v>
      </c>
    </row>
    <row r="14" spans="1:6" x14ac:dyDescent="0.3">
      <c r="A14" s="33" t="s">
        <v>780</v>
      </c>
      <c r="B14" s="18">
        <v>10990</v>
      </c>
    </row>
    <row r="15" spans="1:6" x14ac:dyDescent="0.3">
      <c r="A15" s="33" t="s">
        <v>781</v>
      </c>
      <c r="B15" s="18">
        <v>86136</v>
      </c>
    </row>
    <row r="16" spans="1:6" x14ac:dyDescent="0.3">
      <c r="A16" s="33" t="s">
        <v>782</v>
      </c>
      <c r="B16" s="18">
        <v>242</v>
      </c>
    </row>
    <row r="17" spans="1:6" x14ac:dyDescent="0.3">
      <c r="A17" s="33" t="s">
        <v>783</v>
      </c>
      <c r="B17" s="18">
        <v>5</v>
      </c>
    </row>
    <row r="18" spans="1:6" x14ac:dyDescent="0.3">
      <c r="A18" s="33" t="s">
        <v>784</v>
      </c>
      <c r="B18" s="18">
        <v>1046326</v>
      </c>
    </row>
    <row r="19" spans="1:6" x14ac:dyDescent="0.3">
      <c r="A19" s="33" t="s">
        <v>785</v>
      </c>
      <c r="B19" s="18">
        <v>364836</v>
      </c>
    </row>
    <row r="20" spans="1:6" x14ac:dyDescent="0.3">
      <c r="A20" s="33" t="s">
        <v>786</v>
      </c>
      <c r="B20" s="18">
        <v>-1425</v>
      </c>
    </row>
    <row r="21" spans="1:6" x14ac:dyDescent="0.3">
      <c r="A21" s="33" t="s">
        <v>224</v>
      </c>
      <c r="B21" s="36">
        <f>CF_EndCash_FY2026</f>
        <v>1235194.973501334</v>
      </c>
      <c r="C21" s="36">
        <f>CF_EndCash_FY2027</f>
        <v>1490753.4131908091</v>
      </c>
      <c r="D21" s="36">
        <f>CF_EndCash_FY2028</f>
        <v>1819397.4467738227</v>
      </c>
      <c r="E21" s="36">
        <f>CF_EndCash_FY2029</f>
        <v>2234225.1257399283</v>
      </c>
      <c r="F21" s="36">
        <f>CF_EndCash_FY2030</f>
        <v>2752098.0600566603</v>
      </c>
    </row>
    <row r="22" spans="1:6" x14ac:dyDescent="0.3">
      <c r="A22" s="33" t="s">
        <v>787</v>
      </c>
      <c r="B22" s="53">
        <f>BSQ2_STI</f>
        <v>132979</v>
      </c>
      <c r="C22" s="53">
        <f>BSQ2_STI</f>
        <v>132979</v>
      </c>
      <c r="D22" s="53">
        <f>BSQ2_STI</f>
        <v>132979</v>
      </c>
      <c r="E22" s="53">
        <f>BSQ2_STI</f>
        <v>132979</v>
      </c>
      <c r="F22" s="53">
        <f>BSQ2_STI</f>
        <v>132979</v>
      </c>
    </row>
    <row r="23" spans="1:6" x14ac:dyDescent="0.3">
      <c r="A23" s="33" t="s">
        <v>227</v>
      </c>
      <c r="B23" s="36">
        <f>AR_FY2026</f>
        <v>187353.23141304983</v>
      </c>
      <c r="C23" s="36">
        <f>AR_FY2027</f>
        <v>216178.65891770049</v>
      </c>
      <c r="D23" s="36">
        <f>AR_FY2028</f>
        <v>251525.17617666849</v>
      </c>
      <c r="E23" s="36">
        <f>AR_FY2029</f>
        <v>293553.42605819314</v>
      </c>
      <c r="F23" s="36">
        <f>AR_FY2030</f>
        <v>343435.97683214117</v>
      </c>
    </row>
    <row r="24" spans="1:6" x14ac:dyDescent="0.3">
      <c r="A24" s="33" t="s">
        <v>229</v>
      </c>
      <c r="B24" s="36">
        <f>DeferredCost_FY2026</f>
        <v>118072.11285202479</v>
      </c>
      <c r="C24" s="36">
        <f>DeferredCost_FY2027</f>
        <v>136238.22135022018</v>
      </c>
      <c r="D24" s="36">
        <f>DeferredCost_FY2028</f>
        <v>158513.99392830775</v>
      </c>
      <c r="E24" s="36">
        <f>DeferredCost_FY2029</f>
        <v>185000.6695279624</v>
      </c>
      <c r="F24" s="36">
        <f>DeferredCost_FY2030</f>
        <v>216437.21385605884</v>
      </c>
    </row>
    <row r="25" spans="1:6" x14ac:dyDescent="0.3">
      <c r="A25" s="33" t="s">
        <v>231</v>
      </c>
      <c r="B25" s="36">
        <f>Prepaid_FY2026</f>
        <v>19101.656275352849</v>
      </c>
      <c r="C25" s="36">
        <f>Prepaid_FY2027</f>
        <v>22040.561593564435</v>
      </c>
      <c r="D25" s="36">
        <f>Prepaid_FY2028</f>
        <v>25644.326621364249</v>
      </c>
      <c r="E25" s="36">
        <f>Prepaid_FY2029</f>
        <v>29929.329751743157</v>
      </c>
      <c r="F25" s="36">
        <f>Prepaid_FY2030</f>
        <v>35015.120542941775</v>
      </c>
    </row>
    <row r="26" spans="1:6" x14ac:dyDescent="0.3">
      <c r="A26" s="33" t="s">
        <v>279</v>
      </c>
      <c r="B26" s="36">
        <f>TaxReceivable_FY2026</f>
        <v>16236.407834049918</v>
      </c>
      <c r="C26" s="36">
        <f>TaxReceivable_FY2027</f>
        <v>18734.477354529768</v>
      </c>
      <c r="D26" s="36">
        <f>TaxReceivable_FY2028</f>
        <v>21797.67762815961</v>
      </c>
      <c r="E26" s="36">
        <f>TaxReceivable_FY2029</f>
        <v>25439.930288981683</v>
      </c>
      <c r="F26" s="36">
        <f>TaxReceivable_FY2030</f>
        <v>29762.852461500504</v>
      </c>
    </row>
    <row r="27" spans="1:6" x14ac:dyDescent="0.3">
      <c r="A27" s="38" t="s">
        <v>233</v>
      </c>
      <c r="B27" s="35">
        <f>B21+B22+B23+B24+B25+B26</f>
        <v>1708937.3818758116</v>
      </c>
      <c r="C27" s="35">
        <f>C21+C22+C23+C24+C25+C26</f>
        <v>2016924.332406824</v>
      </c>
      <c r="D27" s="35">
        <f>D21+D22+D23+D24+D25+D26</f>
        <v>2409857.6211283226</v>
      </c>
      <c r="E27" s="35">
        <f>E21+E22+E23+E24+E25+E26</f>
        <v>2901127.4813668085</v>
      </c>
      <c r="F27" s="35">
        <f>F21+F22+F23+F24+F25+F26</f>
        <v>3509728.2237493023</v>
      </c>
    </row>
    <row r="28" spans="1:6" ht="18" customHeight="1" x14ac:dyDescent="0.3">
      <c r="A28" s="29" t="s">
        <v>788</v>
      </c>
    </row>
    <row r="29" spans="1:6" x14ac:dyDescent="0.3">
      <c r="A29" s="33" t="s">
        <v>789</v>
      </c>
      <c r="B29" s="53">
        <f>BSQ2_ROU</f>
        <v>74830</v>
      </c>
      <c r="C29" s="53">
        <f>BSQ2_ROU</f>
        <v>74830</v>
      </c>
      <c r="D29" s="53">
        <f>BSQ2_ROU</f>
        <v>74830</v>
      </c>
      <c r="E29" s="53">
        <f>BSQ2_ROU</f>
        <v>74830</v>
      </c>
      <c r="F29" s="53">
        <f>BSQ2_ROU</f>
        <v>74830</v>
      </c>
    </row>
    <row r="30" spans="1:6" x14ac:dyDescent="0.3">
      <c r="A30" s="33" t="s">
        <v>790</v>
      </c>
      <c r="B30" s="53">
        <f>BSQ2_LTI</f>
        <v>102693</v>
      </c>
      <c r="C30" s="53">
        <f>BSQ2_LTI</f>
        <v>102693</v>
      </c>
      <c r="D30" s="53">
        <f>BSQ2_LTI</f>
        <v>102693</v>
      </c>
      <c r="E30" s="53">
        <f>BSQ2_LTI</f>
        <v>102693</v>
      </c>
      <c r="F30" s="53">
        <f>BSQ2_LTI</f>
        <v>102693</v>
      </c>
    </row>
    <row r="31" spans="1:6" x14ac:dyDescent="0.3">
      <c r="A31" s="33" t="s">
        <v>237</v>
      </c>
      <c r="B31" s="36">
        <f>PPEnet_FY2026</f>
        <v>50020.891806699234</v>
      </c>
      <c r="C31" s="36">
        <f>PPEnet_FY2027</f>
        <v>67102.327041711658</v>
      </c>
      <c r="D31" s="36">
        <f>PPEnet_FY2028</f>
        <v>86976.680173268949</v>
      </c>
      <c r="E31" s="36">
        <f>PPEnet_FY2029</f>
        <v>110171.9107308699</v>
      </c>
      <c r="F31" s="36">
        <f>PPEnet_FY2030</f>
        <v>137308.62915164977</v>
      </c>
    </row>
    <row r="32" spans="1:6" x14ac:dyDescent="0.3">
      <c r="A32" s="33" t="s">
        <v>269</v>
      </c>
      <c r="B32" s="36">
        <f>IntangNet_FY2026</f>
        <v>27657.692675860479</v>
      </c>
      <c r="C32" s="36">
        <f>IntangNet_FY2027</f>
        <v>27795.446185820259</v>
      </c>
      <c r="D32" s="36">
        <f>IntangNet_FY2028</f>
        <v>27955.723227203787</v>
      </c>
      <c r="E32" s="36">
        <f>IntangNet_FY2029</f>
        <v>28142.781538152176</v>
      </c>
      <c r="F32" s="36">
        <f>IntangNet_FY2030</f>
        <v>28361.626041545565</v>
      </c>
    </row>
    <row r="33" spans="1:6" x14ac:dyDescent="0.3">
      <c r="A33" s="33" t="s">
        <v>791</v>
      </c>
      <c r="B33" s="53">
        <f>BSQ2_Goodwill</f>
        <v>35335</v>
      </c>
      <c r="C33" s="53">
        <f>BSQ2_Goodwill</f>
        <v>35335</v>
      </c>
      <c r="D33" s="53">
        <f>BSQ2_Goodwill</f>
        <v>35335</v>
      </c>
      <c r="E33" s="53">
        <f>BSQ2_Goodwill</f>
        <v>35335</v>
      </c>
      <c r="F33" s="53">
        <f>BSQ2_Goodwill</f>
        <v>35335</v>
      </c>
    </row>
    <row r="34" spans="1:6" x14ac:dyDescent="0.3">
      <c r="A34" s="33" t="s">
        <v>792</v>
      </c>
      <c r="B34" s="53">
        <f>BSQ2_Restricted</f>
        <v>2735</v>
      </c>
      <c r="C34" s="53">
        <f>BSQ2_Restricted</f>
        <v>2735</v>
      </c>
      <c r="D34" s="53">
        <f>BSQ2_Restricted</f>
        <v>2735</v>
      </c>
      <c r="E34" s="53">
        <f>BSQ2_Restricted</f>
        <v>2735</v>
      </c>
      <c r="F34" s="53">
        <f>BSQ2_Restricted</f>
        <v>2735</v>
      </c>
    </row>
    <row r="35" spans="1:6" x14ac:dyDescent="0.3">
      <c r="A35" s="33" t="s">
        <v>793</v>
      </c>
      <c r="B35" s="53">
        <f>BSQ2_DTA</f>
        <v>206039</v>
      </c>
      <c r="C35" s="53">
        <f>BSQ2_DTA</f>
        <v>206039</v>
      </c>
      <c r="D35" s="53">
        <f>BSQ2_DTA</f>
        <v>206039</v>
      </c>
      <c r="E35" s="53">
        <f>BSQ2_DTA</f>
        <v>206039</v>
      </c>
      <c r="F35" s="53">
        <f>BSQ2_DTA</f>
        <v>206039</v>
      </c>
    </row>
    <row r="36" spans="1:6" x14ac:dyDescent="0.3">
      <c r="A36" s="33" t="s">
        <v>794</v>
      </c>
      <c r="B36" s="53">
        <f>BSQ2_Other</f>
        <v>10990</v>
      </c>
      <c r="C36" s="53">
        <f>BSQ2_Other</f>
        <v>10990</v>
      </c>
      <c r="D36" s="53">
        <f>BSQ2_Other</f>
        <v>10990</v>
      </c>
      <c r="E36" s="53">
        <f>BSQ2_Other</f>
        <v>10990</v>
      </c>
      <c r="F36" s="53">
        <f>BSQ2_Other</f>
        <v>10990</v>
      </c>
    </row>
    <row r="37" spans="1:6" x14ac:dyDescent="0.3">
      <c r="A37" s="38" t="s">
        <v>795</v>
      </c>
      <c r="B37" s="35">
        <f>B29+B30+B31+B32+B33+B34+B35+B36</f>
        <v>510300.5844825597</v>
      </c>
      <c r="C37" s="35">
        <f>C29+C30+C31+C32+C33+C34+C35+C36</f>
        <v>527519.77322753193</v>
      </c>
      <c r="D37" s="35">
        <f>D29+D30+D31+D32+D33+D34+D35+D36</f>
        <v>547554.40340047271</v>
      </c>
      <c r="E37" s="35">
        <f>E29+E30+E31+E32+E33+E34+E35+E36</f>
        <v>570936.69226902211</v>
      </c>
      <c r="F37" s="35">
        <f>F29+F30+F31+F32+F33+F34+F35+F36</f>
        <v>598292.25519319531</v>
      </c>
    </row>
    <row r="38" spans="1:6" x14ac:dyDescent="0.3">
      <c r="A38" s="38" t="s">
        <v>243</v>
      </c>
      <c r="B38" s="35">
        <f>B27+B37</f>
        <v>2219237.9663583711</v>
      </c>
      <c r="C38" s="35">
        <f>C27+C37</f>
        <v>2544444.1056343559</v>
      </c>
      <c r="D38" s="35">
        <f>D27+D37</f>
        <v>2957412.0245287954</v>
      </c>
      <c r="E38" s="35">
        <f>E27+E37</f>
        <v>3472064.1736358306</v>
      </c>
      <c r="F38" s="35">
        <f>F27+F37</f>
        <v>4108020.4789424976</v>
      </c>
    </row>
    <row r="39" spans="1:6" ht="18" customHeight="1" x14ac:dyDescent="0.3">
      <c r="A39" s="29" t="s">
        <v>796</v>
      </c>
    </row>
    <row r="40" spans="1:6" x14ac:dyDescent="0.3">
      <c r="A40" s="33" t="s">
        <v>245</v>
      </c>
      <c r="B40" s="36">
        <f>DR_EOP_FY2026</f>
        <v>570900.75192960817</v>
      </c>
      <c r="C40" s="36">
        <f>DR_EOP_FY2027</f>
        <v>658737.28462765715</v>
      </c>
      <c r="D40" s="36">
        <f>DR_EOP_FY2028</f>
        <v>766444.81189602392</v>
      </c>
      <c r="E40" s="36">
        <f>DR_EOP_FY2029</f>
        <v>894512.84295522363</v>
      </c>
      <c r="F40" s="36">
        <f>DR_EOP_FY2030</f>
        <v>1046514.4152271722</v>
      </c>
    </row>
    <row r="41" spans="1:6" x14ac:dyDescent="0.3">
      <c r="A41" s="33" t="s">
        <v>247</v>
      </c>
      <c r="B41" s="36">
        <f>AP_FY2026</f>
        <v>9107.4136738803154</v>
      </c>
      <c r="C41" s="36">
        <f>AP_FY2027</f>
        <v>10616.607231863707</v>
      </c>
      <c r="D41" s="36">
        <f>AP_FY2028</f>
        <v>12352.486678204512</v>
      </c>
      <c r="E41" s="36">
        <f>AP_FY2029</f>
        <v>14416.508278989062</v>
      </c>
      <c r="F41" s="36">
        <f>AP_FY2030</f>
        <v>16866.257259493737</v>
      </c>
    </row>
    <row r="42" spans="1:6" x14ac:dyDescent="0.3">
      <c r="A42" s="33" t="s">
        <v>251</v>
      </c>
      <c r="B42" s="36">
        <f>Accrued_FY2026</f>
        <v>52529.554757220329</v>
      </c>
      <c r="C42" s="36">
        <f>Accrued_FY2027</f>
        <v>60611.544382302192</v>
      </c>
      <c r="D42" s="36">
        <f>Accrued_FY2028</f>
        <v>70521.898208751678</v>
      </c>
      <c r="E42" s="36">
        <f>Accrued_FY2029</f>
        <v>82305.656817293682</v>
      </c>
      <c r="F42" s="36">
        <f>Accrued_FY2030</f>
        <v>96291.581493089863</v>
      </c>
    </row>
    <row r="43" spans="1:6" x14ac:dyDescent="0.3">
      <c r="A43" s="33" t="s">
        <v>249</v>
      </c>
      <c r="B43" s="36">
        <f>TaxPayable_FY2026</f>
        <v>1432.6242206514635</v>
      </c>
      <c r="C43" s="36">
        <f>TaxPayable_FY2027</f>
        <v>1653.0421195173326</v>
      </c>
      <c r="D43" s="36">
        <f>TaxPayable_FY2028</f>
        <v>1923.3244966023183</v>
      </c>
      <c r="E43" s="36">
        <f>TaxPayable_FY2029</f>
        <v>2244.6997313807365</v>
      </c>
      <c r="F43" s="36">
        <f>TaxPayable_FY2030</f>
        <v>2626.1340407206326</v>
      </c>
    </row>
    <row r="44" spans="1:6" x14ac:dyDescent="0.3">
      <c r="A44" s="38" t="s">
        <v>253</v>
      </c>
      <c r="B44" s="35">
        <f>B40+B41+B42+B43</f>
        <v>633970.34458136023</v>
      </c>
      <c r="C44" s="35">
        <f>C40+C41+C42+C43</f>
        <v>731618.47836134036</v>
      </c>
      <c r="D44" s="35">
        <f>D40+D41+D42+D43</f>
        <v>851242.5212795824</v>
      </c>
      <c r="E44" s="35">
        <f>E40+E41+E42+E43</f>
        <v>993479.70778288716</v>
      </c>
      <c r="F44" s="35">
        <f>F40+F41+F42+F43</f>
        <v>1162298.3880204763</v>
      </c>
    </row>
    <row r="45" spans="1:6" ht="18" customHeight="1" x14ac:dyDescent="0.3">
      <c r="A45" s="29" t="s">
        <v>797</v>
      </c>
    </row>
    <row r="46" spans="1:6" x14ac:dyDescent="0.3">
      <c r="A46" s="33" t="s">
        <v>798</v>
      </c>
      <c r="B46" s="53">
        <f>BSQ2_Lease</f>
        <v>86136</v>
      </c>
      <c r="C46" s="53">
        <f>BSQ2_Lease</f>
        <v>86136</v>
      </c>
      <c r="D46" s="53">
        <f>BSQ2_Lease</f>
        <v>86136</v>
      </c>
      <c r="E46" s="53">
        <f>BSQ2_Lease</f>
        <v>86136</v>
      </c>
      <c r="F46" s="53">
        <f>BSQ2_Lease</f>
        <v>86136</v>
      </c>
    </row>
    <row r="47" spans="1:6" x14ac:dyDescent="0.3">
      <c r="A47" s="33" t="s">
        <v>799</v>
      </c>
      <c r="B47" s="53">
        <f>BSQ2_DTL</f>
        <v>242</v>
      </c>
      <c r="C47" s="53">
        <f>BSQ2_DTL</f>
        <v>242</v>
      </c>
      <c r="D47" s="53">
        <f>BSQ2_DTL</f>
        <v>242</v>
      </c>
      <c r="E47" s="53">
        <f>BSQ2_DTL</f>
        <v>242</v>
      </c>
      <c r="F47" s="53">
        <f>BSQ2_DTL</f>
        <v>242</v>
      </c>
    </row>
    <row r="48" spans="1:6" x14ac:dyDescent="0.3">
      <c r="A48" s="38" t="s">
        <v>800</v>
      </c>
      <c r="B48" s="35">
        <f>B46+B47</f>
        <v>86378</v>
      </c>
      <c r="C48" s="35">
        <f>C46+C47</f>
        <v>86378</v>
      </c>
      <c r="D48" s="35">
        <f>D46+D47</f>
        <v>86378</v>
      </c>
      <c r="E48" s="35">
        <f>E46+E47</f>
        <v>86378</v>
      </c>
      <c r="F48" s="35">
        <f>F46+F47</f>
        <v>86378</v>
      </c>
    </row>
    <row r="49" spans="1:6" x14ac:dyDescent="0.3">
      <c r="A49" s="38" t="s">
        <v>257</v>
      </c>
      <c r="B49" s="35">
        <f>B44+B48</f>
        <v>720348.34458136023</v>
      </c>
      <c r="C49" s="35">
        <f>C44+C48</f>
        <v>817996.47836134036</v>
      </c>
      <c r="D49" s="35">
        <f>D44+D48</f>
        <v>937620.5212795824</v>
      </c>
      <c r="E49" s="35">
        <f>E44+E48</f>
        <v>1079857.7077828872</v>
      </c>
      <c r="F49" s="35">
        <f>F44+F48</f>
        <v>1248676.3880204763</v>
      </c>
    </row>
    <row r="50" spans="1:6" ht="18" customHeight="1" x14ac:dyDescent="0.3">
      <c r="A50" s="29" t="s">
        <v>801</v>
      </c>
    </row>
    <row r="51" spans="1:6" x14ac:dyDescent="0.3">
      <c r="A51" s="33" t="s">
        <v>802</v>
      </c>
      <c r="B51" s="53">
        <f>BSQ2_Common</f>
        <v>5</v>
      </c>
      <c r="C51" s="53">
        <f>BSQ2_Common</f>
        <v>5</v>
      </c>
      <c r="D51" s="53">
        <f>BSQ2_Common</f>
        <v>5</v>
      </c>
      <c r="E51" s="53">
        <f>BSQ2_Common</f>
        <v>5</v>
      </c>
      <c r="F51" s="53">
        <f>BSQ2_Common</f>
        <v>5</v>
      </c>
    </row>
    <row r="52" spans="1:6" x14ac:dyDescent="0.3">
      <c r="A52" s="33" t="s">
        <v>803</v>
      </c>
      <c r="B52" s="36">
        <f>BSQ2_APIC+SBCBasis_FY2026+OptionBasis_FY2026+SettlementBasis_FY2026+BuybackBasis_FY2026</f>
        <v>1041292.2955151328</v>
      </c>
      <c r="C52" s="36">
        <f>B52+SBCBasis_FY2027+OptionBasis_FY2027+SettlementBasis_FY2027+BuybackBasis_FY2027</f>
        <v>1055562.6962118384</v>
      </c>
      <c r="D52" s="36">
        <f>C52+SBCBasis_FY2028+OptionBasis_FY2028+SettlementBasis_FY2028+BuybackBasis_FY2028</f>
        <v>1099676.7760450111</v>
      </c>
      <c r="E52" s="36">
        <f>D52+SBCBasis_FY2029+OptionBasis_FY2029+SettlementBasis_FY2029+BuybackBasis_FY2029</f>
        <v>1179276.0380516341</v>
      </c>
      <c r="F52" s="36">
        <f>E52+SBCBasis_FY2030+OptionBasis_FY2030+SettlementBasis_FY2030+BuybackBasis_FY2030</f>
        <v>1300992.0050478708</v>
      </c>
    </row>
    <row r="53" spans="1:6" x14ac:dyDescent="0.3">
      <c r="A53" s="33" t="s">
        <v>804</v>
      </c>
      <c r="B53" s="36">
        <f>BSQ2_RE+CF_NI_Solved_FY2026</f>
        <v>459017.32626187796</v>
      </c>
      <c r="C53" s="36">
        <f>B53+NetIncome_FY2027</f>
        <v>672304.93106117728</v>
      </c>
      <c r="D53" s="36">
        <f>C53+NetIncome_FY2028</f>
        <v>921534.72720420233</v>
      </c>
      <c r="E53" s="36">
        <f>D53+NetIncome_FY2029</f>
        <v>1214350.4278013101</v>
      </c>
      <c r="F53" s="36">
        <f>E53+NetIncome_FY2030</f>
        <v>1559772.0858741514</v>
      </c>
    </row>
    <row r="54" spans="1:6" x14ac:dyDescent="0.3">
      <c r="A54" s="33" t="s">
        <v>805</v>
      </c>
      <c r="B54" s="53">
        <f>BSQ2_Treasury</f>
        <v>-1425</v>
      </c>
      <c r="C54" s="53">
        <f>BSQ2_Treasury</f>
        <v>-1425</v>
      </c>
      <c r="D54" s="53">
        <f>BSQ2_Treasury</f>
        <v>-1425</v>
      </c>
      <c r="E54" s="53">
        <f>BSQ2_Treasury</f>
        <v>-1425</v>
      </c>
      <c r="F54" s="53">
        <f>BSQ2_Treasury</f>
        <v>-1425</v>
      </c>
    </row>
    <row r="55" spans="1:6" x14ac:dyDescent="0.3">
      <c r="A55" s="38" t="s">
        <v>265</v>
      </c>
      <c r="B55" s="35">
        <f>B51+B52+B53+B54</f>
        <v>1498889.6217770108</v>
      </c>
      <c r="C55" s="35">
        <f>C51+C52+C53+C54</f>
        <v>1726447.6272730157</v>
      </c>
      <c r="D55" s="35">
        <f>D51+D52+D53+D54</f>
        <v>2019791.5032492136</v>
      </c>
      <c r="E55" s="35">
        <f>E51+E52+E53+E54</f>
        <v>2392206.4658529442</v>
      </c>
      <c r="F55" s="35">
        <f>F51+F52+F53+F54</f>
        <v>2859344.0909220222</v>
      </c>
    </row>
    <row r="56" spans="1:6" x14ac:dyDescent="0.3">
      <c r="A56" s="38" t="s">
        <v>806</v>
      </c>
      <c r="B56" s="35">
        <f>B49+B55</f>
        <v>2219237.9663583711</v>
      </c>
      <c r="C56" s="35">
        <f>C49+C55</f>
        <v>2544444.1056343559</v>
      </c>
      <c r="D56" s="35">
        <f>D49+D55</f>
        <v>2957412.0245287959</v>
      </c>
      <c r="E56" s="35">
        <f>E49+E55</f>
        <v>3472064.1736358311</v>
      </c>
      <c r="F56" s="35">
        <f>F49+F55</f>
        <v>4108020.4789424986</v>
      </c>
    </row>
    <row r="57" spans="1:6" x14ac:dyDescent="0.3">
      <c r="A57" s="3" t="s">
        <v>807</v>
      </c>
      <c r="B57" s="37" t="str">
        <f>IF(ABS(B38-B56)&lt;=Tolerance_USD,"OK","BREAK")</f>
        <v>OK</v>
      </c>
      <c r="C57" s="37" t="str">
        <f>IF(ABS(C38-C56)&lt;=Tolerance_USD,"OK","BREAK")</f>
        <v>OK</v>
      </c>
      <c r="D57" s="37" t="str">
        <f>IF(ABS(D38-D56)&lt;=Tolerance_USD,"OK","BREAK")</f>
        <v>OK</v>
      </c>
      <c r="E57" s="37" t="str">
        <f>IF(ABS(E38-E56)&lt;=Tolerance_USD,"OK","BREAK")</f>
        <v>OK</v>
      </c>
      <c r="F57" s="37" t="str">
        <f>IF(ABS(F38-F56)&lt;=Tolerance_USD,"OK","BREAK")</f>
        <v>OK</v>
      </c>
    </row>
    <row r="58" spans="1:6" x14ac:dyDescent="0.3">
      <c r="A58" s="3" t="s">
        <v>808</v>
      </c>
      <c r="B58" s="37" t="str">
        <f>IF(ABS(B21-CF_EndCash_FY2026)&lt;=Tolerance_USD,"OK","BREAK")</f>
        <v>OK</v>
      </c>
      <c r="C58" s="37" t="str">
        <f>IF(ABS(C21-CF_EndCash_FY2027)&lt;=Tolerance_USD,"OK","BREAK")</f>
        <v>OK</v>
      </c>
      <c r="D58" s="37" t="str">
        <f>IF(ABS(D21-CF_EndCash_FY2028)&lt;=Tolerance_USD,"OK","BREAK")</f>
        <v>OK</v>
      </c>
      <c r="E58" s="37" t="str">
        <f>IF(ABS(E21-CF_EndCash_FY2029)&lt;=Tolerance_USD,"OK","BREAK")</f>
        <v>OK</v>
      </c>
      <c r="F58" s="37" t="str">
        <f>IF(ABS(F21-CF_EndCash_FY2030)&lt;=Tolerance_USD,"OK","BREAK")</f>
        <v>OK</v>
      </c>
    </row>
    <row r="59" spans="1:6" x14ac:dyDescent="0.3">
      <c r="A59" s="3" t="s">
        <v>809</v>
      </c>
      <c r="B59" s="37" t="str">
        <f>IF(ABS(B38-B49-B55)&lt;=Tolerance_USD,"OK","BREAK")</f>
        <v>OK</v>
      </c>
      <c r="C59" s="37" t="str">
        <f>IF(ABS(C38-C49-C55)&lt;=Tolerance_USD,"OK","BREAK")</f>
        <v>OK</v>
      </c>
      <c r="D59" s="37" t="str">
        <f>IF(ABS(D38-D49-D55)&lt;=Tolerance_USD,"OK","BREAK")</f>
        <v>OK</v>
      </c>
      <c r="E59" s="37" t="str">
        <f>IF(ABS(E38-E49-E55)&lt;=Tolerance_USD,"OK","BREAK")</f>
        <v>OK</v>
      </c>
      <c r="F59" s="37" t="str">
        <f>IF(ABS(F38-F49-F55)&lt;=Tolerance_USD,"OK","BREAK")</f>
        <v>OK</v>
      </c>
    </row>
    <row r="61" spans="1:6" ht="19.95" customHeight="1" x14ac:dyDescent="0.3">
      <c r="A61" s="11" t="s">
        <v>652</v>
      </c>
      <c r="B61" s="11" t="s">
        <v>76</v>
      </c>
      <c r="C61" s="11" t="s">
        <v>596</v>
      </c>
      <c r="D61" s="11" t="s">
        <v>597</v>
      </c>
      <c r="E61" s="11" t="s">
        <v>598</v>
      </c>
      <c r="F61" s="11" t="s">
        <v>576</v>
      </c>
    </row>
    <row r="62" spans="1:6" x14ac:dyDescent="0.3">
      <c r="A62" s="33" t="s">
        <v>810</v>
      </c>
      <c r="B62" s="18">
        <v>2219237.9663583711</v>
      </c>
      <c r="C62" s="18">
        <v>2544444.1056343559</v>
      </c>
      <c r="D62" s="18">
        <v>2957412.0245287959</v>
      </c>
      <c r="E62" s="18">
        <v>3472064.1736358311</v>
      </c>
      <c r="F62" s="18">
        <v>4108020.4789424986</v>
      </c>
    </row>
    <row r="63" spans="1:6" x14ac:dyDescent="0.3">
      <c r="A63" s="33" t="s">
        <v>811</v>
      </c>
      <c r="B63" s="18">
        <v>720348.34458136023</v>
      </c>
      <c r="C63" s="18">
        <v>817996.47836134036</v>
      </c>
      <c r="D63" s="18">
        <v>937620.52127958252</v>
      </c>
      <c r="E63" s="18">
        <v>1079857.7077828872</v>
      </c>
      <c r="F63" s="18">
        <v>1248676.3880204766</v>
      </c>
    </row>
    <row r="64" spans="1:6" x14ac:dyDescent="0.3">
      <c r="A64" s="33" t="s">
        <v>812</v>
      </c>
      <c r="B64" s="18">
        <v>1498889.6217770108</v>
      </c>
      <c r="C64" s="18">
        <v>1726447.6272730157</v>
      </c>
      <c r="D64" s="18">
        <v>2019791.5032492136</v>
      </c>
      <c r="E64" s="18">
        <v>2392206.4658529442</v>
      </c>
      <c r="F64" s="18">
        <v>2859344.0909220222</v>
      </c>
    </row>
    <row r="65" spans="1:6" x14ac:dyDescent="0.3">
      <c r="A65" s="33" t="s">
        <v>813</v>
      </c>
      <c r="B65" s="18">
        <v>0</v>
      </c>
      <c r="C65" s="18">
        <v>0</v>
      </c>
      <c r="D65" s="18">
        <v>0</v>
      </c>
      <c r="E65" s="18">
        <v>0</v>
      </c>
      <c r="F65" s="18">
        <v>0</v>
      </c>
    </row>
  </sheetData>
  <sheetProtection sheet="1" formatCells="0" formatColumns="0" formatRows="0" insertRows="0" deleteRows="0" sort="0" autoFilter="0"/>
  <mergeCells count="3">
    <mergeCell ref="A1:F1"/>
    <mergeCell ref="A2:F2"/>
    <mergeCell ref="A3:F3"/>
  </mergeCells>
  <conditionalFormatting sqref="B57:F59">
    <cfRule type="expression" dxfId="73" priority="1">
      <formula>B57="OK"</formula>
    </cfRule>
    <cfRule type="expression" dxfId="72" priority="2">
      <formula>B57="BREAK"</formula>
    </cfRule>
  </conditionalFormatting>
  <pageMargins left="0.7" right="0.7" top="0.75" bottom="0.75" header="0.3" footer="0.3"/>
  <pageSetup fitToHeight="0" orientation="landscape" useFirstPageNumber="1" horizontalDpi="4294967295" verticalDpi="4294967295"/>
  <headerFooter>
    <oddHeader>&amp;L&amp;"Calibri,Bold"13_BS&amp;R&amp;P / &amp;N</oddHeader>
    <oddFooter>&amp;LInternal model — not investment advice&amp;RAs-of 2026-10-06</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C3AED"/>
    <pageSetUpPr fitToPage="1"/>
  </sheetPr>
  <dimension ref="A1:F47"/>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52" customWidth="1"/>
    <col min="2" max="6" width="14" customWidth="1"/>
  </cols>
  <sheetData>
    <row r="1" spans="1:6" ht="22.05" customHeight="1" x14ac:dyDescent="0.4">
      <c r="A1" s="91" t="s">
        <v>814</v>
      </c>
      <c r="B1" s="91"/>
      <c r="C1" s="91"/>
      <c r="D1" s="91"/>
      <c r="E1" s="91"/>
      <c r="F1" s="91"/>
    </row>
    <row r="2" spans="1:6" x14ac:dyDescent="0.3">
      <c r="A2" s="92" t="s">
        <v>815</v>
      </c>
      <c r="B2" s="92"/>
      <c r="C2" s="92"/>
      <c r="D2" s="92"/>
      <c r="E2" s="92"/>
      <c r="F2" s="92"/>
    </row>
    <row r="3" spans="1:6" x14ac:dyDescent="0.3">
      <c r="A3" s="92" t="s">
        <v>816</v>
      </c>
      <c r="B3" s="92"/>
      <c r="C3" s="92"/>
      <c r="D3" s="92"/>
      <c r="E3" s="92"/>
      <c r="F3" s="92"/>
    </row>
    <row r="4" spans="1:6" ht="19.95" customHeight="1" x14ac:dyDescent="0.3">
      <c r="A4" s="2" t="s">
        <v>814</v>
      </c>
      <c r="B4" s="2" t="s">
        <v>76</v>
      </c>
      <c r="C4" s="2" t="s">
        <v>596</v>
      </c>
      <c r="D4" s="2" t="s">
        <v>597</v>
      </c>
      <c r="E4" s="2" t="s">
        <v>598</v>
      </c>
      <c r="F4" s="2" t="s">
        <v>576</v>
      </c>
    </row>
    <row r="5" spans="1:6" ht="18" customHeight="1" x14ac:dyDescent="0.3">
      <c r="A5" s="29" t="s">
        <v>817</v>
      </c>
    </row>
    <row r="6" spans="1:6" x14ac:dyDescent="0.3">
      <c r="A6" s="33" t="s">
        <v>818</v>
      </c>
      <c r="B6" s="18">
        <v>239031</v>
      </c>
      <c r="C6" s="30" t="s">
        <v>428</v>
      </c>
      <c r="D6" s="30" t="s">
        <v>428</v>
      </c>
      <c r="E6" s="30" t="s">
        <v>428</v>
      </c>
      <c r="F6" s="30" t="s">
        <v>428</v>
      </c>
    </row>
    <row r="7" spans="1:6" x14ac:dyDescent="0.3">
      <c r="A7" s="33" t="s">
        <v>819</v>
      </c>
      <c r="B7" s="18">
        <v>-8469</v>
      </c>
      <c r="C7" s="30" t="s">
        <v>428</v>
      </c>
      <c r="D7" s="30" t="s">
        <v>428</v>
      </c>
      <c r="E7" s="30" t="s">
        <v>428</v>
      </c>
      <c r="F7" s="30" t="s">
        <v>428</v>
      </c>
    </row>
    <row r="8" spans="1:6" x14ac:dyDescent="0.3">
      <c r="A8" s="33" t="s">
        <v>820</v>
      </c>
      <c r="B8" s="18">
        <v>-86064</v>
      </c>
      <c r="C8" s="30" t="s">
        <v>428</v>
      </c>
      <c r="D8" s="30" t="s">
        <v>428</v>
      </c>
      <c r="E8" s="30" t="s">
        <v>428</v>
      </c>
      <c r="F8" s="30" t="s">
        <v>428</v>
      </c>
    </row>
    <row r="9" spans="1:6" x14ac:dyDescent="0.3">
      <c r="A9" s="33" t="s">
        <v>821</v>
      </c>
      <c r="B9" s="18">
        <v>144498</v>
      </c>
      <c r="C9" s="30" t="s">
        <v>428</v>
      </c>
      <c r="D9" s="30" t="s">
        <v>428</v>
      </c>
      <c r="E9" s="30" t="s">
        <v>428</v>
      </c>
      <c r="F9" s="30" t="s">
        <v>428</v>
      </c>
    </row>
    <row r="10" spans="1:6" ht="18" customHeight="1" x14ac:dyDescent="0.3">
      <c r="A10" s="29" t="s">
        <v>822</v>
      </c>
    </row>
    <row r="11" spans="1:6" x14ac:dyDescent="0.3">
      <c r="A11" s="33" t="s">
        <v>823</v>
      </c>
      <c r="B11" s="36">
        <f>NetIncome_FY2026-IS_NI_H1_Cited</f>
        <v>94181.326261877955</v>
      </c>
      <c r="C11" s="36">
        <f>NetIncome_FY2027</f>
        <v>213287.60479929927</v>
      </c>
      <c r="D11" s="36">
        <f>NetIncome_FY2028</f>
        <v>249229.79614302504</v>
      </c>
      <c r="E11" s="36">
        <f>NetIncome_FY2029</f>
        <v>292815.70059710782</v>
      </c>
      <c r="F11" s="36">
        <f>NetIncome_FY2030</f>
        <v>345421.65807284124</v>
      </c>
    </row>
    <row r="12" spans="1:6" x14ac:dyDescent="0.3">
      <c r="A12" s="33" t="s">
        <v>320</v>
      </c>
      <c r="B12" s="36">
        <f>DepBasis_FY2026+AmortBasis_FY2026</f>
        <v>8297.2819446063932</v>
      </c>
      <c r="C12" s="36">
        <f>DepBasis_FY2027+AmortBasis_FY2027</f>
        <v>19147.737884409104</v>
      </c>
      <c r="D12" s="36">
        <f>DepBasis_FY2028+AmortBasis_FY2028</f>
        <v>22278.50875231019</v>
      </c>
      <c r="E12" s="36">
        <f>DepBasis_FY2029+AmortBasis_FY2029</f>
        <v>26001.105221826867</v>
      </c>
      <c r="F12" s="36">
        <f>DepBasis_FY2030+AmortBasis_FY2030</f>
        <v>30419.385971680662</v>
      </c>
    </row>
    <row r="13" spans="1:6" x14ac:dyDescent="0.3">
      <c r="A13" s="33" t="s">
        <v>824</v>
      </c>
      <c r="B13" s="36">
        <f>SBCBasis_FY2026</f>
        <v>79092.795515132879</v>
      </c>
      <c r="C13" s="36">
        <f>SBCBasis_FY2027</f>
        <v>182523.4006967055</v>
      </c>
      <c r="D13" s="36">
        <f>SBCBasis_FY2028</f>
        <v>212367.07983317267</v>
      </c>
      <c r="E13" s="36">
        <f>SBCBasis_FY2029</f>
        <v>247852.26200662303</v>
      </c>
      <c r="F13" s="36">
        <f>SBCBasis_FY2030</f>
        <v>289968.96699623659</v>
      </c>
    </row>
    <row r="14" spans="1:6" x14ac:dyDescent="0.3">
      <c r="A14" s="33" t="s">
        <v>825</v>
      </c>
      <c r="B14" s="36">
        <f>-(NWC_FY2026-NWC_Opening_Q2FY26)</f>
        <v>-27378.063793117122</v>
      </c>
      <c r="C14" s="36">
        <f>-(NWC_FY2027-NWC_FY2026)</f>
        <v>45219.622938442568</v>
      </c>
      <c r="D14" s="36">
        <f>-(NWC_FY2028-NWC_FY2027)</f>
        <v>55334.787779756822</v>
      </c>
      <c r="E14" s="36">
        <f>-(NWC_FY2029-NWC_FY2028)</f>
        <v>65795.005230924464</v>
      </c>
      <c r="F14" s="36">
        <f>-(NWC_FY2030-NWC_FY2029)</f>
        <v>78090.872171827243</v>
      </c>
    </row>
    <row r="15" spans="1:6" x14ac:dyDescent="0.3">
      <c r="A15" s="33" t="s">
        <v>826</v>
      </c>
      <c r="B15" s="53">
        <f>B11+B12+B13+B14</f>
        <v>154193.33992850012</v>
      </c>
      <c r="C15" s="30" t="s">
        <v>428</v>
      </c>
      <c r="D15" s="30" t="s">
        <v>428</v>
      </c>
      <c r="E15" s="30" t="s">
        <v>428</v>
      </c>
      <c r="F15" s="30" t="s">
        <v>428</v>
      </c>
    </row>
    <row r="16" spans="1:6" x14ac:dyDescent="0.3">
      <c r="A16" s="38" t="s">
        <v>827</v>
      </c>
      <c r="B16" s="35">
        <f>B6+B15</f>
        <v>393224.33992850012</v>
      </c>
      <c r="C16" s="35">
        <f>C11+C12+C13+C14</f>
        <v>460178.36631885642</v>
      </c>
      <c r="D16" s="35">
        <f>D11+D12+D13+D14</f>
        <v>539210.17250826466</v>
      </c>
      <c r="E16" s="35">
        <f>E11+E12+E13+E14</f>
        <v>632464.07305648213</v>
      </c>
      <c r="F16" s="35">
        <f>F11+F12+F13+F14</f>
        <v>743900.8832125857</v>
      </c>
    </row>
    <row r="17" spans="1:6" ht="18" customHeight="1" x14ac:dyDescent="0.3">
      <c r="A17" s="29" t="s">
        <v>828</v>
      </c>
    </row>
    <row r="18" spans="1:6" x14ac:dyDescent="0.3">
      <c r="A18" s="33" t="s">
        <v>829</v>
      </c>
      <c r="B18" s="36">
        <f>-CapexPPEBasis_FY2026</f>
        <v>-10386.525599723111</v>
      </c>
      <c r="C18" s="36">
        <f>-CapexPPEBasis_FY2027</f>
        <v>-23969.110733001322</v>
      </c>
      <c r="D18" s="36">
        <f>-CapexPPEBasis_FY2028</f>
        <v>-27888.205200733617</v>
      </c>
      <c r="E18" s="36">
        <f>-CapexPPEBasis_FY2029</f>
        <v>-32548.146105020682</v>
      </c>
      <c r="F18" s="36">
        <f>-CapexPPEBasis_FY2030</f>
        <v>-38078.943590449177</v>
      </c>
    </row>
    <row r="19" spans="1:6" x14ac:dyDescent="0.3">
      <c r="A19" s="33" t="s">
        <v>830</v>
      </c>
      <c r="B19" s="36">
        <f>-CapSoftBasis_FY2026</f>
        <v>-5372.3408274429876</v>
      </c>
      <c r="C19" s="36">
        <f>-CapSoftBasis_FY2027</f>
        <v>-12397.815896379994</v>
      </c>
      <c r="D19" s="36">
        <f>-CapSoftBasis_FY2028</f>
        <v>-14424.933724517388</v>
      </c>
      <c r="E19" s="36">
        <f>-CapSoftBasis_FY2029</f>
        <v>-16835.247985355523</v>
      </c>
      <c r="F19" s="36">
        <f>-CapSoftBasis_FY2030</f>
        <v>-19696.005305404746</v>
      </c>
    </row>
    <row r="20" spans="1:6" x14ac:dyDescent="0.3">
      <c r="A20" s="33" t="s">
        <v>831</v>
      </c>
      <c r="B20" s="53">
        <f>B18+B19</f>
        <v>-15758.866427166098</v>
      </c>
      <c r="C20" s="30" t="s">
        <v>428</v>
      </c>
      <c r="D20" s="30" t="s">
        <v>428</v>
      </c>
      <c r="E20" s="30" t="s">
        <v>428</v>
      </c>
      <c r="F20" s="30" t="s">
        <v>428</v>
      </c>
    </row>
    <row r="21" spans="1:6" x14ac:dyDescent="0.3">
      <c r="A21" s="38" t="s">
        <v>832</v>
      </c>
      <c r="B21" s="35">
        <f>B7+B20</f>
        <v>-24227.866427166096</v>
      </c>
      <c r="C21" s="35">
        <f>C18+C19</f>
        <v>-36366.926629381313</v>
      </c>
      <c r="D21" s="35">
        <f>D18+D19</f>
        <v>-42313.138925251005</v>
      </c>
      <c r="E21" s="35">
        <f>E18+E19</f>
        <v>-49383.394090376205</v>
      </c>
      <c r="F21" s="35">
        <f>F18+F19</f>
        <v>-57774.948895853922</v>
      </c>
    </row>
    <row r="22" spans="1:6" ht="18" customHeight="1" x14ac:dyDescent="0.3">
      <c r="A22" s="29" t="s">
        <v>833</v>
      </c>
    </row>
    <row r="23" spans="1:6" x14ac:dyDescent="0.3">
      <c r="A23" s="33" t="s">
        <v>834</v>
      </c>
      <c r="B23" s="36">
        <f>OptionBasis_FY2026</f>
        <v>6285</v>
      </c>
      <c r="C23" s="36">
        <f>OptionBasis_FY2027</f>
        <v>12570</v>
      </c>
      <c r="D23" s="36">
        <f>OptionBasis_FY2028</f>
        <v>12570</v>
      </c>
      <c r="E23" s="36">
        <f>OptionBasis_FY2029</f>
        <v>12570</v>
      </c>
      <c r="F23" s="36">
        <f>OptionBasis_FY2030</f>
        <v>12570</v>
      </c>
    </row>
    <row r="24" spans="1:6" x14ac:dyDescent="0.3">
      <c r="A24" s="33" t="s">
        <v>835</v>
      </c>
      <c r="B24" s="36">
        <f>SettlementBasis_FY2026</f>
        <v>-20808.5</v>
      </c>
      <c r="C24" s="36">
        <f>SettlementBasis_FY2027</f>
        <v>-41617</v>
      </c>
      <c r="D24" s="36">
        <f>SettlementBasis_FY2028</f>
        <v>-41617</v>
      </c>
      <c r="E24" s="36">
        <f>SettlementBasis_FY2029</f>
        <v>-41617</v>
      </c>
      <c r="F24" s="36">
        <f>SettlementBasis_FY2030</f>
        <v>-41617</v>
      </c>
    </row>
    <row r="25" spans="1:6" x14ac:dyDescent="0.3">
      <c r="A25" s="33" t="s">
        <v>836</v>
      </c>
      <c r="B25" s="36">
        <f>BuybackBasis_FY2026</f>
        <v>-69603</v>
      </c>
      <c r="C25" s="36">
        <f>BuybackBasis_FY2027</f>
        <v>-139206</v>
      </c>
      <c r="D25" s="36">
        <f>BuybackBasis_FY2028</f>
        <v>-139206</v>
      </c>
      <c r="E25" s="36">
        <f>BuybackBasis_FY2029</f>
        <v>-139206</v>
      </c>
      <c r="F25" s="36">
        <f>BuybackBasis_FY2030</f>
        <v>-139206</v>
      </c>
    </row>
    <row r="26" spans="1:6" x14ac:dyDescent="0.3">
      <c r="A26" s="33" t="s">
        <v>837</v>
      </c>
      <c r="B26" s="53">
        <f>B23+B24+B25</f>
        <v>-84126.5</v>
      </c>
      <c r="C26" s="30" t="s">
        <v>428</v>
      </c>
      <c r="D26" s="30" t="s">
        <v>428</v>
      </c>
      <c r="E26" s="30" t="s">
        <v>428</v>
      </c>
      <c r="F26" s="30" t="s">
        <v>428</v>
      </c>
    </row>
    <row r="27" spans="1:6" x14ac:dyDescent="0.3">
      <c r="A27" s="38" t="s">
        <v>838</v>
      </c>
      <c r="B27" s="35">
        <f>B8+B26</f>
        <v>-170190.5</v>
      </c>
      <c r="C27" s="35">
        <f>C23+C24+C25</f>
        <v>-168253</v>
      </c>
      <c r="D27" s="35">
        <f>D23+D24+D25</f>
        <v>-168253</v>
      </c>
      <c r="E27" s="35">
        <f>E23+E24+E25</f>
        <v>-168253</v>
      </c>
      <c r="F27" s="35">
        <f>F23+F24+F25</f>
        <v>-168253</v>
      </c>
    </row>
    <row r="28" spans="1:6" ht="18" customHeight="1" x14ac:dyDescent="0.3">
      <c r="A28" s="29" t="s">
        <v>839</v>
      </c>
    </row>
    <row r="29" spans="1:6" x14ac:dyDescent="0.3">
      <c r="A29" s="38" t="s">
        <v>840</v>
      </c>
      <c r="B29" s="35">
        <f>B9+(B15+B20+B26)</f>
        <v>198805.97350133403</v>
      </c>
      <c r="C29" s="35">
        <f>C16+C21+C27</f>
        <v>255558.43968947511</v>
      </c>
      <c r="D29" s="35">
        <f>D16+D21+D27</f>
        <v>328644.03358301363</v>
      </c>
      <c r="E29" s="35">
        <f>E16+E21+E27</f>
        <v>414827.67896610592</v>
      </c>
      <c r="F29" s="35">
        <f>F16+F21+F27</f>
        <v>517872.93431673176</v>
      </c>
    </row>
    <row r="30" spans="1:6" x14ac:dyDescent="0.3">
      <c r="A30" s="33" t="s">
        <v>841</v>
      </c>
      <c r="B30" s="36">
        <f>BSQ2_Cash</f>
        <v>1180887</v>
      </c>
      <c r="C30" s="36">
        <f>B31</f>
        <v>1235194.973501334</v>
      </c>
      <c r="D30" s="36">
        <f>C31</f>
        <v>1490753.4131908091</v>
      </c>
      <c r="E30" s="36">
        <f>D31</f>
        <v>1819397.4467738227</v>
      </c>
      <c r="F30" s="36">
        <f>E31</f>
        <v>2234225.1257399283</v>
      </c>
    </row>
    <row r="31" spans="1:6" x14ac:dyDescent="0.3">
      <c r="A31" s="38" t="s">
        <v>842</v>
      </c>
      <c r="B31" s="35">
        <f>B30+(B15+B20+B26)</f>
        <v>1235194.973501334</v>
      </c>
      <c r="C31" s="35">
        <f>C30+C29</f>
        <v>1490753.4131908091</v>
      </c>
      <c r="D31" s="35">
        <f>D30+D29</f>
        <v>1819397.4467738227</v>
      </c>
      <c r="E31" s="35">
        <f>E30+E29</f>
        <v>2234225.1257399283</v>
      </c>
      <c r="F31" s="35">
        <f>F30+F29</f>
        <v>2752098.0600566603</v>
      </c>
    </row>
    <row r="32" spans="1:6" x14ac:dyDescent="0.3">
      <c r="A32" s="3" t="s">
        <v>843</v>
      </c>
      <c r="B32" s="37" t="str">
        <f>IF(ABS(B16+B21+B27-B29)&lt;=Tolerance_USD,"OK","BREAK")</f>
        <v>OK</v>
      </c>
      <c r="C32" s="37" t="str">
        <f>IF(ABS(C16+C21+C27-C29)&lt;=Tolerance_USD,"OK","BREAK")</f>
        <v>OK</v>
      </c>
      <c r="D32" s="37" t="str">
        <f>IF(ABS(D16+D21+D27-D29)&lt;=Tolerance_USD,"OK","BREAK")</f>
        <v>OK</v>
      </c>
      <c r="E32" s="37" t="str">
        <f>IF(ABS(E16+E21+E27-E29)&lt;=Tolerance_USD,"OK","BREAK")</f>
        <v>OK</v>
      </c>
      <c r="F32" s="37" t="str">
        <f>IF(ABS(F16+F21+F27-F29)&lt;=Tolerance_USD,"OK","BREAK")</f>
        <v>OK</v>
      </c>
    </row>
    <row r="33" spans="1:6" x14ac:dyDescent="0.3">
      <c r="A33" s="3" t="s">
        <v>844</v>
      </c>
      <c r="B33" s="37" t="str">
        <f>IF(ABS(C30-B31)&lt;=Tolerance_USD,"OK","BREAK")</f>
        <v>OK</v>
      </c>
      <c r="C33" s="37" t="str">
        <f>IF(ABS(D30-C31)&lt;=Tolerance_USD,"OK","BREAK")</f>
        <v>OK</v>
      </c>
      <c r="D33" s="37" t="str">
        <f>IF(ABS(E30-D31)&lt;=Tolerance_USD,"OK","BREAK")</f>
        <v>OK</v>
      </c>
      <c r="E33" s="37" t="str">
        <f>IF(ABS(F30-E31)&lt;=Tolerance_USD,"OK","BREAK")</f>
        <v>OK</v>
      </c>
      <c r="F33" s="30" t="s">
        <v>428</v>
      </c>
    </row>
    <row r="34" spans="1:6" x14ac:dyDescent="0.3">
      <c r="A34" s="3" t="s">
        <v>845</v>
      </c>
      <c r="B34" s="37" t="str">
        <f>IF(ABS(B6+B7+B8-B9)&lt;=Tolerance_USD,"OK","BREAK")</f>
        <v>OK</v>
      </c>
      <c r="C34" s="30" t="s">
        <v>428</v>
      </c>
      <c r="D34" s="30" t="s">
        <v>428</v>
      </c>
      <c r="E34" s="30" t="s">
        <v>428</v>
      </c>
      <c r="F34" s="30" t="s">
        <v>428</v>
      </c>
    </row>
    <row r="36" spans="1:6" ht="19.95" customHeight="1" x14ac:dyDescent="0.3">
      <c r="A36" s="11" t="s">
        <v>652</v>
      </c>
      <c r="B36" s="11" t="s">
        <v>76</v>
      </c>
      <c r="C36" s="11" t="s">
        <v>596</v>
      </c>
      <c r="D36" s="11" t="s">
        <v>597</v>
      </c>
      <c r="E36" s="11" t="s">
        <v>598</v>
      </c>
      <c r="F36" s="11" t="s">
        <v>576</v>
      </c>
    </row>
    <row r="37" spans="1:6" x14ac:dyDescent="0.3">
      <c r="A37" s="33" t="s">
        <v>846</v>
      </c>
      <c r="B37" s="18">
        <v>393224.33992850012</v>
      </c>
      <c r="C37" s="18">
        <v>460178.36631885642</v>
      </c>
      <c r="D37" s="18">
        <v>539210.17250826489</v>
      </c>
      <c r="E37" s="18">
        <v>632464.07305648201</v>
      </c>
      <c r="F37" s="18">
        <v>743900.88321258617</v>
      </c>
    </row>
    <row r="38" spans="1:6" x14ac:dyDescent="0.3">
      <c r="A38" s="33" t="s">
        <v>847</v>
      </c>
      <c r="B38" s="18">
        <v>-24227.866427166096</v>
      </c>
      <c r="C38" s="18">
        <v>-36366.926629381313</v>
      </c>
      <c r="D38" s="18">
        <v>-42313.138925251013</v>
      </c>
      <c r="E38" s="18">
        <v>-49383.394090376205</v>
      </c>
      <c r="F38" s="18">
        <v>-57774.94889585393</v>
      </c>
    </row>
    <row r="39" spans="1:6" x14ac:dyDescent="0.3">
      <c r="A39" s="33" t="s">
        <v>848</v>
      </c>
      <c r="B39" s="18">
        <v>-170190.5</v>
      </c>
      <c r="C39" s="18">
        <v>-168253</v>
      </c>
      <c r="D39" s="18">
        <v>-168253</v>
      </c>
      <c r="E39" s="18">
        <v>-168253</v>
      </c>
      <c r="F39" s="18">
        <v>-168253</v>
      </c>
    </row>
    <row r="40" spans="1:6" x14ac:dyDescent="0.3">
      <c r="A40" s="33" t="s">
        <v>849</v>
      </c>
      <c r="B40" s="18">
        <v>198805.97350133403</v>
      </c>
      <c r="C40" s="18">
        <v>255558.43968947511</v>
      </c>
      <c r="D40" s="18">
        <v>328644.03358301386</v>
      </c>
      <c r="E40" s="18">
        <v>414827.6789661058</v>
      </c>
      <c r="F40" s="18">
        <v>517872.93431673222</v>
      </c>
    </row>
    <row r="41" spans="1:6" x14ac:dyDescent="0.3">
      <c r="A41" s="33" t="s">
        <v>850</v>
      </c>
      <c r="B41" s="18">
        <v>1235194.973501334</v>
      </c>
      <c r="C41" s="18">
        <v>1490753.4131908091</v>
      </c>
      <c r="D41" s="18">
        <v>1819397.4467738229</v>
      </c>
      <c r="E41" s="18">
        <v>2234225.1257399288</v>
      </c>
      <c r="F41" s="18">
        <v>2752098.0600566613</v>
      </c>
    </row>
    <row r="43" spans="1:6" ht="15.6" x14ac:dyDescent="0.3">
      <c r="A43" s="29" t="s">
        <v>851</v>
      </c>
    </row>
    <row r="44" spans="1:6" x14ac:dyDescent="0.3">
      <c r="A44" s="1" t="s">
        <v>852</v>
      </c>
    </row>
    <row r="45" spans="1:6" x14ac:dyDescent="0.3">
      <c r="A45" s="1" t="s">
        <v>853</v>
      </c>
    </row>
    <row r="46" spans="1:6" x14ac:dyDescent="0.3">
      <c r="A46" s="1" t="s">
        <v>854</v>
      </c>
    </row>
    <row r="47" spans="1:6" x14ac:dyDescent="0.3">
      <c r="A47" s="1" t="s">
        <v>855</v>
      </c>
    </row>
  </sheetData>
  <sheetProtection sheet="1" formatCells="0" formatColumns="0" formatRows="0" insertRows="0" deleteRows="0" sort="0" autoFilter="0"/>
  <mergeCells count="3">
    <mergeCell ref="A1:F1"/>
    <mergeCell ref="A2:F2"/>
    <mergeCell ref="A3:F3"/>
  </mergeCells>
  <conditionalFormatting sqref="B34">
    <cfRule type="expression" dxfId="71" priority="5">
      <formula>B34="OK"</formula>
    </cfRule>
    <cfRule type="expression" dxfId="70" priority="6">
      <formula>B34="BREAK"</formula>
    </cfRule>
  </conditionalFormatting>
  <conditionalFormatting sqref="B33:E33">
    <cfRule type="expression" dxfId="69" priority="3">
      <formula>B33="OK"</formula>
    </cfRule>
    <cfRule type="expression" dxfId="68" priority="4">
      <formula>B33="BREAK"</formula>
    </cfRule>
  </conditionalFormatting>
  <conditionalFormatting sqref="B32:F32">
    <cfRule type="expression" dxfId="67" priority="1">
      <formula>B32="OK"</formula>
    </cfRule>
    <cfRule type="expression" dxfId="66" priority="2">
      <formula>B32="BREAK"</formula>
    </cfRule>
  </conditionalFormatting>
  <pageMargins left="0.7" right="0.7" top="0.75" bottom="0.75" header="0.3" footer="0.3"/>
  <pageSetup fitToHeight="0" orientation="landscape" useFirstPageNumber="1" horizontalDpi="4294967295" verticalDpi="4294967295"/>
  <headerFooter>
    <oddHeader>&amp;L&amp;"Calibri,Bold"14_CF&amp;R&amp;P / &amp;N</oddHeader>
    <oddFooter>&amp;LInternal model — not investment advice&amp;RAs-of 2026-10-06</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F766E"/>
    <pageSetUpPr fitToPage="1"/>
  </sheetPr>
  <dimension ref="A1:K175"/>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76" customWidth="1"/>
    <col min="2" max="11" width="15" customWidth="1"/>
  </cols>
  <sheetData>
    <row r="1" spans="1:11" ht="22.05" customHeight="1" x14ac:dyDescent="0.4">
      <c r="A1" s="91" t="s">
        <v>856</v>
      </c>
      <c r="B1" s="91"/>
      <c r="C1" s="91"/>
      <c r="D1" s="91"/>
      <c r="E1" s="91"/>
      <c r="F1" s="91"/>
      <c r="G1" s="91"/>
      <c r="H1" s="91"/>
      <c r="I1" s="91"/>
      <c r="J1" s="91"/>
      <c r="K1" s="91"/>
    </row>
    <row r="2" spans="1:11" x14ac:dyDescent="0.3">
      <c r="A2" s="92" t="s">
        <v>857</v>
      </c>
      <c r="B2" s="92"/>
      <c r="C2" s="92"/>
      <c r="D2" s="92"/>
      <c r="E2" s="92"/>
      <c r="F2" s="92"/>
      <c r="G2" s="92"/>
      <c r="H2" s="92"/>
      <c r="I2" s="92"/>
      <c r="J2" s="92"/>
      <c r="K2" s="92"/>
    </row>
    <row r="3" spans="1:11" x14ac:dyDescent="0.3">
      <c r="A3" s="92" t="s">
        <v>858</v>
      </c>
      <c r="B3" s="92"/>
      <c r="C3" s="92"/>
      <c r="D3" s="92"/>
      <c r="E3" s="92"/>
      <c r="F3" s="92"/>
      <c r="G3" s="92"/>
      <c r="H3" s="92"/>
      <c r="I3" s="92"/>
      <c r="J3" s="92"/>
      <c r="K3" s="92"/>
    </row>
    <row r="4" spans="1:11" ht="19.95" customHeight="1" x14ac:dyDescent="0.3">
      <c r="A4" s="2" t="s">
        <v>859</v>
      </c>
      <c r="B4" s="2" t="s">
        <v>76</v>
      </c>
      <c r="C4" s="2" t="s">
        <v>596</v>
      </c>
      <c r="D4" s="2" t="s">
        <v>597</v>
      </c>
      <c r="E4" s="2" t="s">
        <v>598</v>
      </c>
      <c r="F4" s="2" t="s">
        <v>576</v>
      </c>
      <c r="G4" s="2" t="s">
        <v>580</v>
      </c>
      <c r="H4" s="2" t="s">
        <v>860</v>
      </c>
      <c r="I4" s="2" t="s">
        <v>861</v>
      </c>
      <c r="J4" s="2" t="s">
        <v>862</v>
      </c>
      <c r="K4" s="2" t="s">
        <v>582</v>
      </c>
    </row>
    <row r="5" spans="1:11" ht="18" customHeight="1" x14ac:dyDescent="0.3">
      <c r="A5" s="29" t="s">
        <v>863</v>
      </c>
    </row>
    <row r="6" spans="1:11" x14ac:dyDescent="0.3">
      <c r="A6" s="48" t="s">
        <v>864</v>
      </c>
      <c r="B6" s="55" t="str">
        <f>Stage1_Label</f>
        <v>FY2026–FY2030</v>
      </c>
      <c r="C6" s="56" t="str">
        <f>Stage1_Label</f>
        <v>FY2026–FY2030</v>
      </c>
      <c r="D6" s="56" t="str">
        <f>Stage1_Label</f>
        <v>FY2026–FY2030</v>
      </c>
      <c r="E6" s="56" t="str">
        <f>Stage1_Label</f>
        <v>FY2026–FY2030</v>
      </c>
      <c r="F6" s="56" t="str">
        <f>Stage1_Label</f>
        <v>FY2026–FY2030</v>
      </c>
      <c r="G6" s="56" t="str">
        <f>Stage2_Label</f>
        <v>FY2031–FY2035</v>
      </c>
      <c r="H6" s="56" t="str">
        <f>Stage2_Label</f>
        <v>FY2031–FY2035</v>
      </c>
      <c r="I6" s="56" t="str">
        <f>Stage2_Label</f>
        <v>FY2031–FY2035</v>
      </c>
      <c r="J6" s="56" t="str">
        <f>Stage2_Label</f>
        <v>FY2031–FY2035</v>
      </c>
      <c r="K6" s="56" t="str">
        <f>Stage2_Label</f>
        <v>FY2031–FY2035</v>
      </c>
    </row>
    <row r="7" spans="1:11" x14ac:dyDescent="0.3">
      <c r="A7" s="48" t="s">
        <v>89</v>
      </c>
      <c r="B7" s="56" t="str">
        <f>Stage3_Label</f>
        <v>Gordon on FY2035, grown from the normalized terminal FCFF at the Stage 3 growth rate</v>
      </c>
    </row>
    <row r="8" spans="1:11" x14ac:dyDescent="0.3">
      <c r="A8" s="57" t="s">
        <v>865</v>
      </c>
      <c r="B8" s="58" t="str">
        <f>IF(B6=Stage1_Label,"OK","BREAK")</f>
        <v>OK</v>
      </c>
      <c r="C8" s="58" t="str">
        <f>IF(C6=Stage1_Label,"OK","BREAK")</f>
        <v>OK</v>
      </c>
      <c r="D8" s="58" t="str">
        <f>IF(D6=Stage1_Label,"OK","BREAK")</f>
        <v>OK</v>
      </c>
    </row>
    <row r="9" spans="1:11" x14ac:dyDescent="0.3">
      <c r="A9" s="57" t="s">
        <v>866</v>
      </c>
      <c r="E9" s="58" t="str">
        <f>IF(E6=Stage1_Label,"OK","BREAK")</f>
        <v>OK</v>
      </c>
      <c r="F9" s="58" t="str">
        <f>IF(F6=Stage1_Label,"OK","BREAK")</f>
        <v>OK</v>
      </c>
    </row>
    <row r="10" spans="1:11" x14ac:dyDescent="0.3">
      <c r="A10" s="57" t="s">
        <v>867</v>
      </c>
      <c r="G10" s="58" t="str">
        <f>IF(G6=Stage2_Label,"OK","BREAK")</f>
        <v>OK</v>
      </c>
      <c r="H10" s="58" t="str">
        <f>IF(H6=Stage2_Label,"OK","BREAK")</f>
        <v>OK</v>
      </c>
      <c r="I10" s="58" t="str">
        <f>IF(I6=Stage2_Label,"OK","BREAK")</f>
        <v>OK</v>
      </c>
      <c r="J10" s="58" t="str">
        <f>IF(J6=Stage2_Label,"OK","BREAK")</f>
        <v>OK</v>
      </c>
      <c r="K10" s="58" t="str">
        <f>IF(K6=Stage2_Label,"OK","BREAK")</f>
        <v>OK</v>
      </c>
    </row>
    <row r="11" spans="1:11" x14ac:dyDescent="0.3">
      <c r="A11" s="57" t="s">
        <v>868</v>
      </c>
      <c r="B11" s="58" t="str">
        <f>IF(Stage2_First_Year-Stage1_Last_Year=1,"OK","BREAK")</f>
        <v>OK</v>
      </c>
    </row>
    <row r="12" spans="1:11" x14ac:dyDescent="0.3">
      <c r="A12" s="57" t="s">
        <v>869</v>
      </c>
      <c r="B12" s="58" t="str">
        <f>IF(B7=Stage3_Label,"OK","BREAK")</f>
        <v>OK</v>
      </c>
    </row>
    <row r="13" spans="1:11" ht="18" customHeight="1" x14ac:dyDescent="0.3">
      <c r="A13" s="29" t="s">
        <v>870</v>
      </c>
    </row>
    <row r="14" spans="1:11" x14ac:dyDescent="0.3">
      <c r="A14" s="57" t="s">
        <v>871</v>
      </c>
      <c r="B14" s="59" t="s">
        <v>872</v>
      </c>
    </row>
    <row r="15" spans="1:11" x14ac:dyDescent="0.3">
      <c r="A15" s="57" t="s">
        <v>873</v>
      </c>
      <c r="B15" s="59" t="s">
        <v>874</v>
      </c>
    </row>
    <row r="16" spans="1:11" x14ac:dyDescent="0.3">
      <c r="A16" s="57" t="s">
        <v>875</v>
      </c>
      <c r="B16" s="59" t="s">
        <v>876</v>
      </c>
    </row>
    <row r="17" spans="1:11" x14ac:dyDescent="0.3">
      <c r="A17" s="48" t="s">
        <v>877</v>
      </c>
      <c r="B17" s="60">
        <v>365</v>
      </c>
    </row>
    <row r="18" spans="1:11" x14ac:dyDescent="0.3">
      <c r="A18" s="48" t="s">
        <v>878</v>
      </c>
      <c r="B18" s="60">
        <v>184</v>
      </c>
    </row>
    <row r="19" spans="1:11" x14ac:dyDescent="0.3">
      <c r="A19" s="48" t="s">
        <v>879</v>
      </c>
      <c r="B19" s="60">
        <v>64</v>
      </c>
    </row>
    <row r="20" spans="1:11" x14ac:dyDescent="0.3">
      <c r="A20" s="48" t="s">
        <v>880</v>
      </c>
      <c r="B20" s="60">
        <v>120</v>
      </c>
    </row>
    <row r="21" spans="1:11" x14ac:dyDescent="0.3">
      <c r="A21" s="48" t="s">
        <v>881</v>
      </c>
      <c r="B21" s="61">
        <f>B19/B18</f>
        <v>0.34782608695652173</v>
      </c>
    </row>
    <row r="22" spans="1:11" x14ac:dyDescent="0.3">
      <c r="A22" s="48" t="s">
        <v>882</v>
      </c>
      <c r="B22" s="61">
        <f>B20/B18</f>
        <v>0.65217391304347827</v>
      </c>
    </row>
    <row r="23" spans="1:11" x14ac:dyDescent="0.3">
      <c r="A23" s="57" t="s">
        <v>883</v>
      </c>
      <c r="B23" s="58" t="str">
        <f>IF(ABS(B19+B20-B18)&lt;=0.5,"OK","BREAK")</f>
        <v>OK</v>
      </c>
    </row>
    <row r="24" spans="1:11" x14ac:dyDescent="0.3">
      <c r="A24" s="34" t="s">
        <v>884</v>
      </c>
      <c r="B24" s="62">
        <f>Cover_WACC</f>
        <v>0.111225</v>
      </c>
    </row>
    <row r="25" spans="1:11" x14ac:dyDescent="0.3">
      <c r="A25" s="48" t="s">
        <v>885</v>
      </c>
      <c r="B25" s="51">
        <f>Assumption_risk_free_rate+Assumption_beta*Assumption_equity_risk_premium</f>
        <v>0.111225</v>
      </c>
    </row>
    <row r="26" spans="1:11" x14ac:dyDescent="0.3">
      <c r="A26" s="34" t="s">
        <v>886</v>
      </c>
      <c r="B26" s="62">
        <f>Cover_TerminalGrowth</f>
        <v>2.5000000000000001E-2</v>
      </c>
    </row>
    <row r="27" spans="1:11" x14ac:dyDescent="0.3">
      <c r="A27" s="57" t="s">
        <v>887</v>
      </c>
      <c r="B27" s="58" t="str">
        <f>IF(ABS(B24-B25)&lt;=0.0000001,"OK","BREAK")</f>
        <v>OK</v>
      </c>
    </row>
    <row r="28" spans="1:11" x14ac:dyDescent="0.3">
      <c r="A28" s="57" t="s">
        <v>888</v>
      </c>
      <c r="B28" s="58" t="str">
        <f>IF(B24-B26&gt;0,"OK","BREAK")</f>
        <v>OK</v>
      </c>
    </row>
    <row r="29" spans="1:11" x14ac:dyDescent="0.3">
      <c r="A29" s="48" t="s">
        <v>889</v>
      </c>
      <c r="B29" s="41">
        <v>0.01</v>
      </c>
    </row>
    <row r="30" spans="1:11" x14ac:dyDescent="0.3">
      <c r="A30" s="48" t="s">
        <v>890</v>
      </c>
      <c r="B30" s="60">
        <v>1000</v>
      </c>
    </row>
    <row r="31" spans="1:11" ht="18" customHeight="1" x14ac:dyDescent="0.3">
      <c r="A31" s="29" t="s">
        <v>891</v>
      </c>
    </row>
    <row r="32" spans="1:11" x14ac:dyDescent="0.3">
      <c r="A32" s="48" t="s">
        <v>892</v>
      </c>
      <c r="B32" s="36">
        <f>CF_OCF_FY2026</f>
        <v>393224.33992850012</v>
      </c>
      <c r="C32" s="36">
        <f>CF_OCF_FY2027</f>
        <v>460178.36631885642</v>
      </c>
      <c r="D32" s="36">
        <f>CF_OCF_FY2028</f>
        <v>539210.17250826466</v>
      </c>
      <c r="E32" s="36">
        <f>CF_OCF_FY2029</f>
        <v>632464.07305648213</v>
      </c>
      <c r="F32" s="36">
        <f>CF_OCF_FY2030</f>
        <v>743900.8832125857</v>
      </c>
      <c r="G32" s="18">
        <v>844015.36824492633</v>
      </c>
      <c r="H32" s="18">
        <v>921598.82453254331</v>
      </c>
      <c r="I32" s="18">
        <v>980525.14702710451</v>
      </c>
      <c r="J32" s="18">
        <v>1015942.9405716226</v>
      </c>
      <c r="K32" s="18">
        <v>1024823.0793942314</v>
      </c>
    </row>
    <row r="33" spans="1:11" x14ac:dyDescent="0.3">
      <c r="A33" s="48" t="s">
        <v>893</v>
      </c>
      <c r="B33" s="36">
        <f>CF_ICF_FY2026</f>
        <v>-24227.866427166096</v>
      </c>
      <c r="C33" s="36">
        <f>CF_ICF_FY2027</f>
        <v>-36366.926629381313</v>
      </c>
      <c r="D33" s="36">
        <f>CF_ICF_FY2028</f>
        <v>-42313.138925251005</v>
      </c>
      <c r="E33" s="36">
        <f>CF_ICF_FY2029</f>
        <v>-49383.394090376205</v>
      </c>
      <c r="F33" s="36">
        <f>CF_ICF_FY2030</f>
        <v>-57774.948895853922</v>
      </c>
      <c r="G33" s="18">
        <v>-67439.795087013219</v>
      </c>
      <c r="H33" s="18">
        <v>-76791.786043093613</v>
      </c>
      <c r="I33" s="18">
        <v>-85243.799628190274</v>
      </c>
      <c r="J33" s="18">
        <v>-92187.895429668657</v>
      </c>
      <c r="K33" s="18">
        <v>-97061.373414799833</v>
      </c>
    </row>
    <row r="34" spans="1:11" x14ac:dyDescent="0.3">
      <c r="A34" s="48" t="s">
        <v>894</v>
      </c>
      <c r="B34" s="36">
        <f>IS_InterestSolve_FY2026</f>
        <v>52645.472047327523</v>
      </c>
      <c r="C34" s="36">
        <f>IS_InterestSolve_FY2027</f>
        <v>64232.00540245181</v>
      </c>
      <c r="D34" s="36">
        <f>IS_InterestSolve_FY2028</f>
        <v>75968.340989259479</v>
      </c>
      <c r="E34" s="36">
        <f>IS_InterestSolve_FY2029</f>
        <v>90904.315958515013</v>
      </c>
      <c r="F34" s="36">
        <f>IS_InterestSolve_FY2030</f>
        <v>109641.80492906057</v>
      </c>
      <c r="G34" s="18">
        <v>132266.50957647251</v>
      </c>
      <c r="H34" s="18">
        <v>158079.03826616218</v>
      </c>
      <c r="I34" s="18">
        <v>186276.30660746648</v>
      </c>
      <c r="J34" s="18">
        <v>216059.60092841627</v>
      </c>
      <c r="K34" s="18">
        <v>246495.40941306931</v>
      </c>
    </row>
    <row r="35" spans="1:11" x14ac:dyDescent="0.3">
      <c r="A35" s="48" t="s">
        <v>895</v>
      </c>
      <c r="B35" s="36">
        <f t="shared" ref="B35:K35" si="0">B34*(1-Assumption_effective_tax_rate)</f>
        <v>45579.133561774986</v>
      </c>
      <c r="C35" s="36">
        <f t="shared" si="0"/>
        <v>55610.464477307716</v>
      </c>
      <c r="D35" s="36">
        <f t="shared" si="0"/>
        <v>65771.490419976122</v>
      </c>
      <c r="E35" s="36">
        <f t="shared" si="0"/>
        <v>78702.684148983331</v>
      </c>
      <c r="F35" s="36">
        <f t="shared" si="0"/>
        <v>94925.133662457418</v>
      </c>
      <c r="G35" s="36">
        <f t="shared" si="0"/>
        <v>114513.03732857048</v>
      </c>
      <c r="H35" s="36">
        <f t="shared" si="0"/>
        <v>136860.87935488657</v>
      </c>
      <c r="I35" s="36">
        <f t="shared" si="0"/>
        <v>161273.3693530793</v>
      </c>
      <c r="J35" s="36">
        <f t="shared" si="0"/>
        <v>187059.00099379959</v>
      </c>
      <c r="K35" s="36">
        <f t="shared" si="0"/>
        <v>213409.56308460009</v>
      </c>
    </row>
    <row r="36" spans="1:11" x14ac:dyDescent="0.3">
      <c r="A36" s="34" t="s">
        <v>896</v>
      </c>
      <c r="B36" s="35">
        <f t="shared" ref="B36:K36" si="1">B32+B33-B35</f>
        <v>323417.33993955905</v>
      </c>
      <c r="C36" s="35">
        <f t="shared" si="1"/>
        <v>368200.97521216737</v>
      </c>
      <c r="D36" s="35">
        <f t="shared" si="1"/>
        <v>431125.54316303751</v>
      </c>
      <c r="E36" s="35">
        <f t="shared" si="1"/>
        <v>504377.99481712258</v>
      </c>
      <c r="F36" s="35">
        <f t="shared" si="1"/>
        <v>591200.8006542743</v>
      </c>
      <c r="G36" s="35">
        <f t="shared" si="1"/>
        <v>662062.53582934255</v>
      </c>
      <c r="H36" s="35">
        <f t="shared" si="1"/>
        <v>707946.15913456306</v>
      </c>
      <c r="I36" s="35">
        <f t="shared" si="1"/>
        <v>734007.97804583493</v>
      </c>
      <c r="J36" s="35">
        <f t="shared" si="1"/>
        <v>736696.04414815432</v>
      </c>
      <c r="K36" s="35">
        <f t="shared" si="1"/>
        <v>714352.14289483149</v>
      </c>
    </row>
    <row r="37" spans="1:11" ht="18" customHeight="1" x14ac:dyDescent="0.3">
      <c r="A37" s="29" t="s">
        <v>897</v>
      </c>
    </row>
    <row r="38" spans="1:11" x14ac:dyDescent="0.3">
      <c r="A38" s="48" t="s">
        <v>898</v>
      </c>
      <c r="B38" s="36">
        <f>CF_OCF_H1_FY2026+CF_ICF_H1_FY2026-IS_Interest_H1_FY2026*(1-Assumption_effective_tax_rate)</f>
        <v>210093.34745</v>
      </c>
    </row>
    <row r="39" spans="1:11" x14ac:dyDescent="0.3">
      <c r="A39" s="48" t="s">
        <v>899</v>
      </c>
      <c r="B39" s="36">
        <f>CF_OCF_H2_FY2026+CF_ICF_H2_FY2026-IS_InterestSolved_FY2026*(1-Assumption_effective_tax_rate)</f>
        <v>113323.99248955904</v>
      </c>
    </row>
    <row r="40" spans="1:11" x14ac:dyDescent="0.3">
      <c r="A40" s="48" t="s">
        <v>900</v>
      </c>
      <c r="B40" s="36">
        <f>B39*B21</f>
        <v>39417.040865933581</v>
      </c>
    </row>
    <row r="41" spans="1:11" x14ac:dyDescent="0.3">
      <c r="A41" s="34" t="s">
        <v>901</v>
      </c>
      <c r="B41" s="35">
        <f>B39-B40</f>
        <v>73906.951623625457</v>
      </c>
    </row>
    <row r="42" spans="1:11" x14ac:dyDescent="0.3">
      <c r="A42" s="57" t="s">
        <v>902</v>
      </c>
      <c r="B42" s="58" t="str">
        <f>IF(ABS(B38+B40+B41-B36)&lt;=Tolerance_USD,"OK","BREAK")</f>
        <v>OK</v>
      </c>
    </row>
    <row r="43" spans="1:11" ht="18" customHeight="1" x14ac:dyDescent="0.3">
      <c r="A43" s="29" t="s">
        <v>903</v>
      </c>
    </row>
    <row r="44" spans="1:11" x14ac:dyDescent="0.3">
      <c r="A44" s="48" t="s">
        <v>904</v>
      </c>
      <c r="B44" s="63" t="s">
        <v>905</v>
      </c>
      <c r="C44" s="63" t="s">
        <v>906</v>
      </c>
      <c r="D44" s="63" t="s">
        <v>907</v>
      </c>
      <c r="E44" s="63" t="s">
        <v>908</v>
      </c>
      <c r="F44" s="63" t="s">
        <v>909</v>
      </c>
      <c r="G44" s="63" t="s">
        <v>910</v>
      </c>
      <c r="H44" s="63" t="s">
        <v>911</v>
      </c>
      <c r="I44" s="63" t="s">
        <v>912</v>
      </c>
      <c r="J44" s="63" t="s">
        <v>913</v>
      </c>
      <c r="K44" s="63" t="s">
        <v>876</v>
      </c>
    </row>
    <row r="45" spans="1:11" x14ac:dyDescent="0.3">
      <c r="A45" s="48" t="s">
        <v>914</v>
      </c>
      <c r="B45" s="60">
        <v>120</v>
      </c>
      <c r="C45" s="60">
        <v>485</v>
      </c>
      <c r="D45" s="60">
        <v>851</v>
      </c>
      <c r="E45" s="60">
        <v>1216</v>
      </c>
      <c r="F45" s="60">
        <v>1581</v>
      </c>
      <c r="G45" s="60">
        <v>1946</v>
      </c>
      <c r="H45" s="60">
        <v>2312</v>
      </c>
      <c r="I45" s="60">
        <v>2677</v>
      </c>
      <c r="J45" s="60">
        <v>3042</v>
      </c>
      <c r="K45" s="60">
        <v>3407</v>
      </c>
    </row>
    <row r="46" spans="1:11" x14ac:dyDescent="0.3">
      <c r="A46" s="48" t="s">
        <v>915</v>
      </c>
      <c r="B46" s="61">
        <f t="shared" ref="B46:K46" si="2">B45/$B$17</f>
        <v>0.32876712328767121</v>
      </c>
      <c r="C46" s="61">
        <f t="shared" si="2"/>
        <v>1.3287671232876712</v>
      </c>
      <c r="D46" s="61">
        <f t="shared" si="2"/>
        <v>2.3315068493150686</v>
      </c>
      <c r="E46" s="61">
        <f t="shared" si="2"/>
        <v>3.3315068493150686</v>
      </c>
      <c r="F46" s="61">
        <f t="shared" si="2"/>
        <v>4.3315068493150681</v>
      </c>
      <c r="G46" s="61">
        <f t="shared" si="2"/>
        <v>5.3315068493150681</v>
      </c>
      <c r="H46" s="61">
        <f t="shared" si="2"/>
        <v>6.3342465753424655</v>
      </c>
      <c r="I46" s="61">
        <f t="shared" si="2"/>
        <v>7.3342465753424655</v>
      </c>
      <c r="J46" s="61">
        <f t="shared" si="2"/>
        <v>8.3342465753424655</v>
      </c>
      <c r="K46" s="61">
        <f t="shared" si="2"/>
        <v>9.3342465753424655</v>
      </c>
    </row>
    <row r="47" spans="1:11" x14ac:dyDescent="0.3">
      <c r="A47" s="48" t="s">
        <v>916</v>
      </c>
      <c r="B47" s="64">
        <f t="shared" ref="B47:K47" si="3">B46-0.5</f>
        <v>-0.17123287671232879</v>
      </c>
      <c r="C47" s="64">
        <f t="shared" si="3"/>
        <v>0.82876712328767121</v>
      </c>
      <c r="D47" s="64">
        <f t="shared" si="3"/>
        <v>1.8315068493150686</v>
      </c>
      <c r="E47" s="64">
        <f t="shared" si="3"/>
        <v>2.8315068493150686</v>
      </c>
      <c r="F47" s="64">
        <f t="shared" si="3"/>
        <v>3.8315068493150681</v>
      </c>
      <c r="G47" s="64">
        <f t="shared" si="3"/>
        <v>4.8315068493150681</v>
      </c>
      <c r="H47" s="64">
        <f t="shared" si="3"/>
        <v>5.8342465753424655</v>
      </c>
      <c r="I47" s="64">
        <f t="shared" si="3"/>
        <v>6.8342465753424655</v>
      </c>
      <c r="J47" s="64">
        <f t="shared" si="3"/>
        <v>7.8342465753424655</v>
      </c>
      <c r="K47" s="64">
        <f t="shared" si="3"/>
        <v>8.8342465753424655</v>
      </c>
    </row>
    <row r="48" spans="1:11" x14ac:dyDescent="0.3">
      <c r="A48" s="48" t="s">
        <v>917</v>
      </c>
      <c r="B48" s="61">
        <f t="shared" ref="B48:K48" si="4">1/(1+$B$24)^B46</f>
        <v>0.96592144249624123</v>
      </c>
      <c r="C48" s="61">
        <f t="shared" si="4"/>
        <v>0.86924020112600175</v>
      </c>
      <c r="D48" s="61">
        <f t="shared" si="4"/>
        <v>0.78201001539466386</v>
      </c>
      <c r="E48" s="61">
        <f t="shared" si="4"/>
        <v>0.70373688082491304</v>
      </c>
      <c r="F48" s="61">
        <f t="shared" si="4"/>
        <v>0.63329827966875574</v>
      </c>
      <c r="G48" s="61">
        <f t="shared" si="4"/>
        <v>0.569910035923198</v>
      </c>
      <c r="H48" s="61">
        <f t="shared" si="4"/>
        <v>0.51271829741485941</v>
      </c>
      <c r="I48" s="61">
        <f t="shared" si="4"/>
        <v>0.46139917425801197</v>
      </c>
      <c r="J48" s="61">
        <f t="shared" si="4"/>
        <v>0.41521669712075598</v>
      </c>
      <c r="K48" s="61">
        <f t="shared" si="4"/>
        <v>0.37365672759410207</v>
      </c>
    </row>
    <row r="49" spans="1:11" x14ac:dyDescent="0.3">
      <c r="A49" s="34" t="s">
        <v>918</v>
      </c>
      <c r="B49" s="35">
        <f>B41</f>
        <v>73906.951623625457</v>
      </c>
      <c r="C49" s="35">
        <f t="shared" ref="C49:K49" si="5">C36</f>
        <v>368200.97521216737</v>
      </c>
      <c r="D49" s="35">
        <f t="shared" si="5"/>
        <v>431125.54316303751</v>
      </c>
      <c r="E49" s="35">
        <f t="shared" si="5"/>
        <v>504377.99481712258</v>
      </c>
      <c r="F49" s="35">
        <f t="shared" si="5"/>
        <v>591200.8006542743</v>
      </c>
      <c r="G49" s="35">
        <f t="shared" si="5"/>
        <v>662062.53582934255</v>
      </c>
      <c r="H49" s="35">
        <f t="shared" si="5"/>
        <v>707946.15913456306</v>
      </c>
      <c r="I49" s="35">
        <f t="shared" si="5"/>
        <v>734007.97804583493</v>
      </c>
      <c r="J49" s="35">
        <f t="shared" si="5"/>
        <v>736696.04414815432</v>
      </c>
      <c r="K49" s="35">
        <f t="shared" si="5"/>
        <v>714352.14289483149</v>
      </c>
    </row>
    <row r="50" spans="1:11" x14ac:dyDescent="0.3">
      <c r="A50" s="34" t="s">
        <v>919</v>
      </c>
      <c r="B50" s="35">
        <f t="shared" ref="B50:K50" si="6">B49*B48</f>
        <v>71388.309322792222</v>
      </c>
      <c r="C50" s="35">
        <f t="shared" si="6"/>
        <v>320055.08974821435</v>
      </c>
      <c r="D50" s="35">
        <f t="shared" si="6"/>
        <v>337144.49264595978</v>
      </c>
      <c r="E50" s="35">
        <f t="shared" si="6"/>
        <v>354949.396829326</v>
      </c>
      <c r="F50" s="35">
        <f t="shared" si="6"/>
        <v>374406.44999314292</v>
      </c>
      <c r="G50" s="35">
        <f t="shared" si="6"/>
        <v>377316.08357790415</v>
      </c>
      <c r="H50" s="35">
        <f t="shared" si="6"/>
        <v>362976.94937286229</v>
      </c>
      <c r="I50" s="35">
        <f t="shared" si="6"/>
        <v>338670.6749691412</v>
      </c>
      <c r="J50" s="35">
        <f t="shared" si="6"/>
        <v>305888.49823312327</v>
      </c>
      <c r="K50" s="35">
        <f t="shared" si="6"/>
        <v>266922.48406391713</v>
      </c>
    </row>
    <row r="51" spans="1:11" x14ac:dyDescent="0.3">
      <c r="A51" s="57" t="s">
        <v>920</v>
      </c>
      <c r="B51" s="58" t="str">
        <f t="shared" ref="B51:K51" si="7">IF(ABS(B48-1/(1+$B$24)^B46)&lt;=0.000000001,"OK","BREAK")</f>
        <v>OK</v>
      </c>
      <c r="C51" s="58" t="str">
        <f t="shared" si="7"/>
        <v>OK</v>
      </c>
      <c r="D51" s="58" t="str">
        <f t="shared" si="7"/>
        <v>OK</v>
      </c>
      <c r="E51" s="58" t="str">
        <f t="shared" si="7"/>
        <v>OK</v>
      </c>
      <c r="F51" s="58" t="str">
        <f t="shared" si="7"/>
        <v>OK</v>
      </c>
      <c r="G51" s="58" t="str">
        <f t="shared" si="7"/>
        <v>OK</v>
      </c>
      <c r="H51" s="58" t="str">
        <f t="shared" si="7"/>
        <v>OK</v>
      </c>
      <c r="I51" s="58" t="str">
        <f t="shared" si="7"/>
        <v>OK</v>
      </c>
      <c r="J51" s="58" t="str">
        <f t="shared" si="7"/>
        <v>OK</v>
      </c>
      <c r="K51" s="58" t="str">
        <f t="shared" si="7"/>
        <v>OK</v>
      </c>
    </row>
    <row r="52" spans="1:11" ht="18" customHeight="1" x14ac:dyDescent="0.3">
      <c r="A52" s="29" t="s">
        <v>921</v>
      </c>
    </row>
    <row r="53" spans="1:11" x14ac:dyDescent="0.3">
      <c r="A53" s="34" t="s">
        <v>922</v>
      </c>
      <c r="B53" s="35">
        <f>B50+C50+D50+E50+F50</f>
        <v>1457943.7385394352</v>
      </c>
    </row>
    <row r="54" spans="1:11" x14ac:dyDescent="0.3">
      <c r="A54" s="34" t="s">
        <v>923</v>
      </c>
      <c r="B54" s="35">
        <f>G50+H50+I50+J50+K50</f>
        <v>1651774.6902169478</v>
      </c>
    </row>
    <row r="55" spans="1:11" x14ac:dyDescent="0.3">
      <c r="A55" s="34" t="s">
        <v>924</v>
      </c>
      <c r="B55" s="35">
        <f>B53+B54</f>
        <v>3109718.4287563832</v>
      </c>
    </row>
    <row r="56" spans="1:11" x14ac:dyDescent="0.3">
      <c r="A56" s="57" t="s">
        <v>925</v>
      </c>
      <c r="B56" s="58" t="str">
        <f>IF(ABS(B50+C50+D50+E50+F50+G50+H50+I50+J50+K50-B55)&lt;=Tolerance_USD,"OK","BREAK")</f>
        <v>OK</v>
      </c>
    </row>
    <row r="57" spans="1:11" x14ac:dyDescent="0.3">
      <c r="A57" s="57" t="s">
        <v>926</v>
      </c>
      <c r="B57" s="58" t="str">
        <f>IF(ABS(B53+B54-B55)&lt;=Tolerance_USD,"OK","BREAK")</f>
        <v>OK</v>
      </c>
    </row>
    <row r="58" spans="1:11" ht="18" customHeight="1" x14ac:dyDescent="0.3">
      <c r="A58" s="29" t="s">
        <v>927</v>
      </c>
    </row>
    <row r="59" spans="1:11" x14ac:dyDescent="0.3">
      <c r="A59" s="48" t="s">
        <v>928</v>
      </c>
      <c r="B59" s="36">
        <f>K36</f>
        <v>714352.14289483149</v>
      </c>
    </row>
    <row r="60" spans="1:11" x14ac:dyDescent="0.3">
      <c r="A60" s="57" t="s">
        <v>929</v>
      </c>
      <c r="B60" s="18">
        <v>-903242.30489556468</v>
      </c>
    </row>
    <row r="61" spans="1:11" x14ac:dyDescent="0.3">
      <c r="A61" s="57" t="s">
        <v>930</v>
      </c>
      <c r="B61" s="18">
        <v>-857890.26284959388</v>
      </c>
    </row>
    <row r="62" spans="1:11" x14ac:dyDescent="0.3">
      <c r="A62" s="48" t="s">
        <v>931</v>
      </c>
      <c r="B62" s="36">
        <f>-(B60-B61)</f>
        <v>45352.042045970797</v>
      </c>
    </row>
    <row r="63" spans="1:11" x14ac:dyDescent="0.3">
      <c r="A63" s="48" t="s">
        <v>932</v>
      </c>
      <c r="B63" s="36">
        <f>-B60*B26</f>
        <v>22581.057622389118</v>
      </c>
    </row>
    <row r="64" spans="1:11" x14ac:dyDescent="0.3">
      <c r="A64" s="48" t="s">
        <v>933</v>
      </c>
      <c r="B64" s="36">
        <f>B59-B62+B63</f>
        <v>691581.15847124986</v>
      </c>
    </row>
    <row r="65" spans="1:2" x14ac:dyDescent="0.3">
      <c r="A65" s="48" t="s">
        <v>934</v>
      </c>
      <c r="B65" s="36">
        <f>B64*(1+B26)</f>
        <v>708870.68743303104</v>
      </c>
    </row>
    <row r="66" spans="1:2" x14ac:dyDescent="0.3">
      <c r="A66" s="34" t="s">
        <v>935</v>
      </c>
      <c r="B66" s="35">
        <f>B65/(B24-B26)</f>
        <v>8221173.5277823266</v>
      </c>
    </row>
    <row r="67" spans="1:2" x14ac:dyDescent="0.3">
      <c r="A67" s="48" t="s">
        <v>936</v>
      </c>
      <c r="B67" s="61">
        <f>K48</f>
        <v>0.37365672759410207</v>
      </c>
    </row>
    <row r="68" spans="1:2" x14ac:dyDescent="0.3">
      <c r="A68" s="34" t="s">
        <v>937</v>
      </c>
      <c r="B68" s="35">
        <f>B66*B67</f>
        <v>3071896.797374404</v>
      </c>
    </row>
    <row r="69" spans="1:2" ht="18" customHeight="1" x14ac:dyDescent="0.3">
      <c r="A69" s="29" t="s">
        <v>938</v>
      </c>
    </row>
    <row r="70" spans="1:2" x14ac:dyDescent="0.3">
      <c r="A70" s="48" t="s">
        <v>939</v>
      </c>
      <c r="B70" s="36">
        <f>B55</f>
        <v>3109718.4287563832</v>
      </c>
    </row>
    <row r="71" spans="1:2" x14ac:dyDescent="0.3">
      <c r="A71" s="48" t="s">
        <v>937</v>
      </c>
      <c r="B71" s="36">
        <f>B68</f>
        <v>3071896.797374404</v>
      </c>
    </row>
    <row r="72" spans="1:2" x14ac:dyDescent="0.3">
      <c r="A72" s="34" t="s">
        <v>940</v>
      </c>
      <c r="B72" s="35">
        <f>B70+B71</f>
        <v>6181615.2261307873</v>
      </c>
    </row>
    <row r="73" spans="1:2" x14ac:dyDescent="0.3">
      <c r="A73" s="48" t="s">
        <v>941</v>
      </c>
      <c r="B73" s="36">
        <f>BSQ2_Cash</f>
        <v>1180887</v>
      </c>
    </row>
    <row r="74" spans="1:2" x14ac:dyDescent="0.3">
      <c r="A74" s="57" t="s">
        <v>942</v>
      </c>
      <c r="B74" s="18">
        <v>18889.729913507486</v>
      </c>
    </row>
    <row r="75" spans="1:2" x14ac:dyDescent="0.3">
      <c r="A75" s="48" t="s">
        <v>943</v>
      </c>
      <c r="B75" s="36">
        <f>B73+B74</f>
        <v>1199776.7299135076</v>
      </c>
    </row>
    <row r="76" spans="1:2" x14ac:dyDescent="0.3">
      <c r="A76" s="48" t="s">
        <v>944</v>
      </c>
      <c r="B76" s="36">
        <f>BS_STI_Q2FY26</f>
        <v>132979</v>
      </c>
    </row>
    <row r="77" spans="1:2" x14ac:dyDescent="0.3">
      <c r="A77" s="48" t="s">
        <v>945</v>
      </c>
      <c r="B77" s="36">
        <f>BS_LTI_Q2FY26</f>
        <v>102693</v>
      </c>
    </row>
    <row r="78" spans="1:2" x14ac:dyDescent="0.3">
      <c r="A78" s="48" t="s">
        <v>946</v>
      </c>
      <c r="B78" s="18">
        <v>0</v>
      </c>
    </row>
    <row r="79" spans="1:2" x14ac:dyDescent="0.3">
      <c r="A79" s="34" t="s">
        <v>947</v>
      </c>
      <c r="B79" s="35">
        <f>B75+B76+B77-B78</f>
        <v>1435448.7299135076</v>
      </c>
    </row>
    <row r="80" spans="1:2" x14ac:dyDescent="0.3">
      <c r="A80" s="34" t="s">
        <v>948</v>
      </c>
      <c r="B80" s="35">
        <f>B72+B79</f>
        <v>7617063.9560442949</v>
      </c>
    </row>
    <row r="81" spans="1:2" x14ac:dyDescent="0.3">
      <c r="A81" s="57" t="s">
        <v>949</v>
      </c>
      <c r="B81" s="58" t="str">
        <f>IF(ABS(B80-B72-B79)&lt;=Tolerance_USD,"OK","BREAK")</f>
        <v>OK</v>
      </c>
    </row>
    <row r="82" spans="1:2" x14ac:dyDescent="0.3">
      <c r="A82" s="57" t="s">
        <v>950</v>
      </c>
      <c r="B82" s="58" t="str">
        <f>IF(ABS(B79-Cover_NetCash-(B75-BSQ2_Cash))&lt;=Tolerance_USD,"OK","BREAK")</f>
        <v>OK</v>
      </c>
    </row>
    <row r="83" spans="1:2" ht="18" customHeight="1" x14ac:dyDescent="0.3">
      <c r="A83" s="29" t="s">
        <v>951</v>
      </c>
    </row>
    <row r="84" spans="1:2" x14ac:dyDescent="0.3">
      <c r="A84" s="48" t="s">
        <v>952</v>
      </c>
      <c r="B84" s="65">
        <f>Cover_SharesDiluted</f>
        <v>50061458</v>
      </c>
    </row>
    <row r="85" spans="1:2" x14ac:dyDescent="0.3">
      <c r="A85" s="48" t="s">
        <v>953</v>
      </c>
      <c r="B85" s="60">
        <v>66893351.783343546</v>
      </c>
    </row>
    <row r="86" spans="1:2" x14ac:dyDescent="0.3">
      <c r="A86" s="48" t="s">
        <v>954</v>
      </c>
      <c r="B86" s="61">
        <f>1+B29</f>
        <v>1.01</v>
      </c>
    </row>
    <row r="87" spans="1:2" x14ac:dyDescent="0.3">
      <c r="A87" s="48" t="s">
        <v>955</v>
      </c>
      <c r="B87" s="65">
        <f>B85*B86</f>
        <v>67562285.30117698</v>
      </c>
    </row>
    <row r="88" spans="1:2" x14ac:dyDescent="0.3">
      <c r="A88" s="34" t="s">
        <v>956</v>
      </c>
      <c r="B88" s="66">
        <f>B80*$B$30/B87</f>
        <v>112.74136039195822</v>
      </c>
    </row>
    <row r="89" spans="1:2" x14ac:dyDescent="0.3">
      <c r="A89" s="48" t="s">
        <v>957</v>
      </c>
      <c r="B89" s="67">
        <f>B80*$B$30/B85</f>
        <v>113.8687739958778</v>
      </c>
    </row>
    <row r="90" spans="1:2" x14ac:dyDescent="0.3">
      <c r="A90" s="48" t="s">
        <v>958</v>
      </c>
      <c r="B90" s="67">
        <f>B80*$B$30/B84</f>
        <v>152.1542571941132</v>
      </c>
    </row>
    <row r="91" spans="1:2" x14ac:dyDescent="0.3">
      <c r="A91" s="48" t="s">
        <v>959</v>
      </c>
      <c r="B91" s="67">
        <f>B90-B88</f>
        <v>39.412896802154975</v>
      </c>
    </row>
    <row r="92" spans="1:2" x14ac:dyDescent="0.3">
      <c r="A92" s="57" t="s">
        <v>960</v>
      </c>
      <c r="B92" s="58" t="str">
        <f>IF(B90-B88&gt;0,"OK","BREAK")</f>
        <v>OK</v>
      </c>
    </row>
    <row r="93" spans="1:2" x14ac:dyDescent="0.3">
      <c r="A93" s="57" t="s">
        <v>961</v>
      </c>
      <c r="B93" s="58" t="str">
        <f>IF(B88-B89&lt;=0,"OK","BREAK")</f>
        <v>OK</v>
      </c>
    </row>
    <row r="94" spans="1:2" ht="18" customHeight="1" x14ac:dyDescent="0.3">
      <c r="A94" s="29" t="s">
        <v>962</v>
      </c>
    </row>
    <row r="95" spans="1:2" x14ac:dyDescent="0.3">
      <c r="A95" s="48" t="s">
        <v>963</v>
      </c>
      <c r="B95" s="68">
        <v>208.82073235072531</v>
      </c>
    </row>
    <row r="96" spans="1:2" x14ac:dyDescent="0.3">
      <c r="A96" s="48" t="s">
        <v>964</v>
      </c>
      <c r="B96" s="18">
        <v>7454032.938568173</v>
      </c>
    </row>
    <row r="97" spans="1:11" x14ac:dyDescent="0.3">
      <c r="A97" s="48" t="s">
        <v>965</v>
      </c>
      <c r="B97" s="68">
        <v>119.25524798777379</v>
      </c>
    </row>
    <row r="98" spans="1:11" x14ac:dyDescent="0.3">
      <c r="A98" s="48" t="s">
        <v>966</v>
      </c>
      <c r="B98" s="60">
        <v>57502257.059558749</v>
      </c>
    </row>
    <row r="99" spans="1:11" x14ac:dyDescent="0.3">
      <c r="A99" s="48" t="s">
        <v>967</v>
      </c>
      <c r="B99" s="68">
        <v>120.44780046765152</v>
      </c>
    </row>
    <row r="100" spans="1:11" x14ac:dyDescent="0.3">
      <c r="A100" s="48" t="s">
        <v>968</v>
      </c>
      <c r="B100" s="18">
        <v>5421997.1955808867</v>
      </c>
    </row>
    <row r="101" spans="1:11" x14ac:dyDescent="0.3">
      <c r="A101" s="48" t="s">
        <v>969</v>
      </c>
      <c r="B101" s="68">
        <v>161.1143084352037</v>
      </c>
    </row>
    <row r="102" spans="1:11" x14ac:dyDescent="0.3">
      <c r="A102" s="1" t="s">
        <v>970</v>
      </c>
    </row>
    <row r="103" spans="1:11" ht="19.95" customHeight="1" x14ac:dyDescent="0.3">
      <c r="A103" s="11" t="s">
        <v>971</v>
      </c>
      <c r="B103" s="11" t="s">
        <v>76</v>
      </c>
      <c r="C103" s="11" t="s">
        <v>596</v>
      </c>
      <c r="D103" s="11" t="s">
        <v>597</v>
      </c>
      <c r="E103" s="11" t="s">
        <v>598</v>
      </c>
      <c r="F103" s="11" t="s">
        <v>576</v>
      </c>
      <c r="G103" s="11" t="s">
        <v>580</v>
      </c>
      <c r="H103" s="11" t="s">
        <v>860</v>
      </c>
      <c r="I103" s="11" t="s">
        <v>861</v>
      </c>
      <c r="J103" s="11" t="s">
        <v>862</v>
      </c>
      <c r="K103" s="11" t="s">
        <v>582</v>
      </c>
    </row>
    <row r="104" spans="1:11" x14ac:dyDescent="0.3">
      <c r="A104" s="33" t="s">
        <v>972</v>
      </c>
      <c r="B104" s="18">
        <v>73906.951623625457</v>
      </c>
      <c r="C104" s="18">
        <v>368200.97521216737</v>
      </c>
      <c r="D104" s="18">
        <v>431125.54316303774</v>
      </c>
      <c r="E104" s="18">
        <v>504377.99481712247</v>
      </c>
      <c r="F104" s="18">
        <v>591200.80065427476</v>
      </c>
      <c r="G104" s="18">
        <v>662062.53582934255</v>
      </c>
      <c r="H104" s="18">
        <v>707946.15913456306</v>
      </c>
      <c r="I104" s="18">
        <v>734007.97804583493</v>
      </c>
      <c r="J104" s="18">
        <v>736696.04414815432</v>
      </c>
      <c r="K104" s="18">
        <v>714352.14289483149</v>
      </c>
    </row>
    <row r="105" spans="1:11" x14ac:dyDescent="0.3">
      <c r="A105" s="33" t="s">
        <v>973</v>
      </c>
      <c r="B105" s="69">
        <v>0.96592144249624123</v>
      </c>
      <c r="C105" s="69">
        <v>0.86924020112600175</v>
      </c>
      <c r="D105" s="69">
        <v>0.78201001539466386</v>
      </c>
      <c r="E105" s="69">
        <v>0.70373688082491292</v>
      </c>
      <c r="F105" s="69">
        <v>0.63329827966875574</v>
      </c>
      <c r="G105" s="69">
        <v>0.569910035923198</v>
      </c>
      <c r="H105" s="69">
        <v>0.5127182974148593</v>
      </c>
      <c r="I105" s="69">
        <v>0.46139917425801197</v>
      </c>
      <c r="J105" s="69">
        <v>0.41521669712075598</v>
      </c>
      <c r="K105" s="69">
        <v>0.37365672759410196</v>
      </c>
    </row>
    <row r="106" spans="1:11" x14ac:dyDescent="0.3">
      <c r="A106" s="33" t="s">
        <v>974</v>
      </c>
      <c r="B106" s="18">
        <v>71388.309322792222</v>
      </c>
      <c r="C106" s="18">
        <v>320055.08974821435</v>
      </c>
      <c r="D106" s="18">
        <v>337144.49264595995</v>
      </c>
      <c r="E106" s="18">
        <v>354949.39682932588</v>
      </c>
      <c r="F106" s="18">
        <v>374406.44999314321</v>
      </c>
      <c r="G106" s="18">
        <v>377316.08357790415</v>
      </c>
      <c r="H106" s="18">
        <v>362976.94937286223</v>
      </c>
      <c r="I106" s="18">
        <v>338670.6749691412</v>
      </c>
      <c r="J106" s="18">
        <v>305888.49823312327</v>
      </c>
      <c r="K106" s="18">
        <v>266922.48406391707</v>
      </c>
    </row>
    <row r="107" spans="1:11" x14ac:dyDescent="0.3">
      <c r="A107" s="33" t="s">
        <v>975</v>
      </c>
      <c r="B107" s="69">
        <v>0.32876712328767121</v>
      </c>
      <c r="C107" s="69">
        <v>1.3287671232876712</v>
      </c>
      <c r="D107" s="69">
        <v>2.3315068493150686</v>
      </c>
      <c r="E107" s="69">
        <v>3.3315068493150686</v>
      </c>
      <c r="F107" s="69">
        <v>4.3315068493150681</v>
      </c>
      <c r="G107" s="69">
        <v>5.3315068493150681</v>
      </c>
      <c r="H107" s="69">
        <v>6.3342465753424655</v>
      </c>
      <c r="I107" s="69">
        <v>7.3342465753424655</v>
      </c>
      <c r="J107" s="69">
        <v>8.3342465753424655</v>
      </c>
      <c r="K107" s="69">
        <v>9.3342465753424655</v>
      </c>
    </row>
    <row r="108" spans="1:11" x14ac:dyDescent="0.3">
      <c r="A108" s="33" t="s">
        <v>976</v>
      </c>
      <c r="B108" s="60">
        <v>120</v>
      </c>
      <c r="C108" s="60">
        <v>485</v>
      </c>
      <c r="D108" s="60">
        <v>851</v>
      </c>
      <c r="E108" s="60">
        <v>1216</v>
      </c>
      <c r="F108" s="60">
        <v>1581</v>
      </c>
      <c r="G108" s="60">
        <v>1946</v>
      </c>
      <c r="H108" s="60">
        <v>2312</v>
      </c>
      <c r="I108" s="60">
        <v>2677</v>
      </c>
      <c r="J108" s="60">
        <v>3042</v>
      </c>
      <c r="K108" s="60">
        <v>3407</v>
      </c>
    </row>
    <row r="109" spans="1:11" x14ac:dyDescent="0.3">
      <c r="A109" s="33" t="s">
        <v>977</v>
      </c>
      <c r="B109" s="70">
        <v>0.111225</v>
      </c>
    </row>
    <row r="110" spans="1:11" x14ac:dyDescent="0.3">
      <c r="A110" s="33" t="s">
        <v>978</v>
      </c>
      <c r="B110" s="70">
        <v>2.5000000000000001E-2</v>
      </c>
    </row>
    <row r="111" spans="1:11" x14ac:dyDescent="0.3">
      <c r="A111" s="33" t="s">
        <v>979</v>
      </c>
      <c r="B111" s="18">
        <v>3109718.4287563832</v>
      </c>
    </row>
    <row r="112" spans="1:11" x14ac:dyDescent="0.3">
      <c r="A112" s="33" t="s">
        <v>980</v>
      </c>
      <c r="B112" s="18">
        <v>1457943.7385394354</v>
      </c>
    </row>
    <row r="113" spans="1:2" x14ac:dyDescent="0.3">
      <c r="A113" s="33" t="s">
        <v>981</v>
      </c>
      <c r="B113" s="18">
        <v>1651774.6902169478</v>
      </c>
    </row>
    <row r="114" spans="1:2" x14ac:dyDescent="0.3">
      <c r="A114" s="33" t="s">
        <v>982</v>
      </c>
      <c r="B114" s="18">
        <v>8221173.5277823266</v>
      </c>
    </row>
    <row r="115" spans="1:2" x14ac:dyDescent="0.3">
      <c r="A115" s="33" t="s">
        <v>983</v>
      </c>
      <c r="B115" s="18">
        <v>3071896.7973744031</v>
      </c>
    </row>
    <row r="116" spans="1:2" x14ac:dyDescent="0.3">
      <c r="A116" s="33" t="s">
        <v>984</v>
      </c>
      <c r="B116" s="18">
        <v>6181615.2261307864</v>
      </c>
    </row>
    <row r="117" spans="1:2" x14ac:dyDescent="0.3">
      <c r="A117" s="33" t="s">
        <v>985</v>
      </c>
      <c r="B117" s="18">
        <v>1199776.7299135076</v>
      </c>
    </row>
    <row r="118" spans="1:2" x14ac:dyDescent="0.3">
      <c r="A118" s="33" t="s">
        <v>986</v>
      </c>
      <c r="B118" s="18">
        <v>18889.729913507486</v>
      </c>
    </row>
    <row r="119" spans="1:2" x14ac:dyDescent="0.3">
      <c r="A119" s="33" t="s">
        <v>987</v>
      </c>
      <c r="B119" s="18">
        <v>132979</v>
      </c>
    </row>
    <row r="120" spans="1:2" x14ac:dyDescent="0.3">
      <c r="A120" s="33" t="s">
        <v>988</v>
      </c>
      <c r="B120" s="18">
        <v>102693</v>
      </c>
    </row>
    <row r="121" spans="1:2" x14ac:dyDescent="0.3">
      <c r="A121" s="33" t="s">
        <v>989</v>
      </c>
      <c r="B121" s="18">
        <v>0</v>
      </c>
    </row>
    <row r="122" spans="1:2" x14ac:dyDescent="0.3">
      <c r="A122" s="33" t="s">
        <v>990</v>
      </c>
      <c r="B122" s="18">
        <v>1435448.7299135076</v>
      </c>
    </row>
    <row r="123" spans="1:2" x14ac:dyDescent="0.3">
      <c r="A123" s="33" t="s">
        <v>991</v>
      </c>
      <c r="B123" s="18">
        <v>7617063.9560442939</v>
      </c>
    </row>
    <row r="124" spans="1:2" x14ac:dyDescent="0.3">
      <c r="A124" s="33" t="s">
        <v>992</v>
      </c>
      <c r="B124" s="60">
        <v>50061458</v>
      </c>
    </row>
    <row r="125" spans="1:2" x14ac:dyDescent="0.3">
      <c r="A125" s="33" t="s">
        <v>993</v>
      </c>
      <c r="B125" s="60">
        <v>66893351.783343546</v>
      </c>
    </row>
    <row r="126" spans="1:2" x14ac:dyDescent="0.3">
      <c r="A126" s="33" t="s">
        <v>994</v>
      </c>
      <c r="B126" s="60">
        <v>67562285.30117698</v>
      </c>
    </row>
    <row r="127" spans="1:2" x14ac:dyDescent="0.3">
      <c r="A127" s="33" t="s">
        <v>995</v>
      </c>
      <c r="B127" s="70">
        <v>0.01</v>
      </c>
    </row>
    <row r="128" spans="1:2" x14ac:dyDescent="0.3">
      <c r="A128" s="33" t="s">
        <v>996</v>
      </c>
      <c r="B128" s="68">
        <v>112.74136039195821</v>
      </c>
    </row>
    <row r="129" spans="1:11" x14ac:dyDescent="0.3">
      <c r="A129" s="33" t="s">
        <v>997</v>
      </c>
      <c r="B129" s="68">
        <v>113.86877399587779</v>
      </c>
    </row>
    <row r="130" spans="1:11" x14ac:dyDescent="0.3">
      <c r="A130" s="33" t="s">
        <v>998</v>
      </c>
      <c r="B130" s="68">
        <v>152.15425719411317</v>
      </c>
    </row>
    <row r="131" spans="1:11" x14ac:dyDescent="0.3">
      <c r="A131" s="33" t="s">
        <v>999</v>
      </c>
      <c r="B131" s="60">
        <v>16831893.783343546</v>
      </c>
    </row>
    <row r="132" spans="1:11" x14ac:dyDescent="0.3">
      <c r="A132" s="33" t="s">
        <v>1000</v>
      </c>
      <c r="B132" s="18">
        <v>-903242.30489556468</v>
      </c>
    </row>
    <row r="133" spans="1:11" x14ac:dyDescent="0.3">
      <c r="A133" s="33" t="s">
        <v>1001</v>
      </c>
      <c r="B133" s="18">
        <v>-857890.26284959388</v>
      </c>
    </row>
    <row r="134" spans="1:11" x14ac:dyDescent="0.3">
      <c r="A134" s="33" t="s">
        <v>1002</v>
      </c>
      <c r="B134" s="18">
        <v>210093.34745</v>
      </c>
    </row>
    <row r="135" spans="1:11" x14ac:dyDescent="0.3">
      <c r="A135" s="33" t="s">
        <v>1003</v>
      </c>
      <c r="B135" s="18">
        <v>39417.040865933581</v>
      </c>
    </row>
    <row r="136" spans="1:11" x14ac:dyDescent="0.3">
      <c r="A136" s="33" t="s">
        <v>1004</v>
      </c>
      <c r="B136" s="18">
        <v>73906.951623625457</v>
      </c>
    </row>
    <row r="137" spans="1:11" x14ac:dyDescent="0.3">
      <c r="A137" s="33" t="s">
        <v>1005</v>
      </c>
      <c r="B137" s="18">
        <v>323417.33993955905</v>
      </c>
    </row>
    <row r="138" spans="1:11" x14ac:dyDescent="0.3">
      <c r="A138" s="33" t="s">
        <v>1006</v>
      </c>
      <c r="B138" s="68">
        <v>119.25524798777379</v>
      </c>
    </row>
    <row r="139" spans="1:11" x14ac:dyDescent="0.3">
      <c r="A139" s="33" t="s">
        <v>1007</v>
      </c>
      <c r="B139" s="60">
        <v>57502257.059558749</v>
      </c>
    </row>
    <row r="140" spans="1:11" x14ac:dyDescent="0.3">
      <c r="A140" s="33" t="s">
        <v>1008</v>
      </c>
      <c r="B140" s="68">
        <v>120.44780046765152</v>
      </c>
    </row>
    <row r="141" spans="1:11" x14ac:dyDescent="0.3">
      <c r="A141" s="33" t="s">
        <v>1009</v>
      </c>
      <c r="B141" s="18">
        <v>5421997.1955808867</v>
      </c>
    </row>
    <row r="142" spans="1:11" x14ac:dyDescent="0.3">
      <c r="A142" s="33" t="s">
        <v>1010</v>
      </c>
      <c r="B142" s="68">
        <v>161.1143084352037</v>
      </c>
    </row>
    <row r="143" spans="1:11" ht="18" customHeight="1" x14ac:dyDescent="0.3">
      <c r="A143" s="29" t="s">
        <v>1011</v>
      </c>
    </row>
    <row r="144" spans="1:11" x14ac:dyDescent="0.3">
      <c r="A144" s="57" t="s">
        <v>1012</v>
      </c>
      <c r="B144" s="58" t="str">
        <f t="shared" ref="B144:K144" si="8">IF(ABS(B49-B104)&lt;=Tolerance_USD,"OK","BREAK")</f>
        <v>OK</v>
      </c>
      <c r="C144" s="58" t="str">
        <f t="shared" si="8"/>
        <v>OK</v>
      </c>
      <c r="D144" s="58" t="str">
        <f t="shared" si="8"/>
        <v>OK</v>
      </c>
      <c r="E144" s="58" t="str">
        <f t="shared" si="8"/>
        <v>OK</v>
      </c>
      <c r="F144" s="58" t="str">
        <f t="shared" si="8"/>
        <v>OK</v>
      </c>
      <c r="G144" s="58" t="str">
        <f t="shared" si="8"/>
        <v>OK</v>
      </c>
      <c r="H144" s="58" t="str">
        <f t="shared" si="8"/>
        <v>OK</v>
      </c>
      <c r="I144" s="58" t="str">
        <f t="shared" si="8"/>
        <v>OK</v>
      </c>
      <c r="J144" s="58" t="str">
        <f t="shared" si="8"/>
        <v>OK</v>
      </c>
      <c r="K144" s="58" t="str">
        <f t="shared" si="8"/>
        <v>OK</v>
      </c>
    </row>
    <row r="145" spans="1:11" x14ac:dyDescent="0.3">
      <c r="A145" s="57" t="s">
        <v>1013</v>
      </c>
      <c r="B145" s="58" t="str">
        <f t="shared" ref="B145:K145" si="9">IF(ABS(B48-B105)&lt;=0.000000001,"OK","BREAK")</f>
        <v>OK</v>
      </c>
      <c r="C145" s="58" t="str">
        <f t="shared" si="9"/>
        <v>OK</v>
      </c>
      <c r="D145" s="58" t="str">
        <f t="shared" si="9"/>
        <v>OK</v>
      </c>
      <c r="E145" s="58" t="str">
        <f t="shared" si="9"/>
        <v>OK</v>
      </c>
      <c r="F145" s="58" t="str">
        <f t="shared" si="9"/>
        <v>OK</v>
      </c>
      <c r="G145" s="58" t="str">
        <f t="shared" si="9"/>
        <v>OK</v>
      </c>
      <c r="H145" s="58" t="str">
        <f t="shared" si="9"/>
        <v>OK</v>
      </c>
      <c r="I145" s="58" t="str">
        <f t="shared" si="9"/>
        <v>OK</v>
      </c>
      <c r="J145" s="58" t="str">
        <f t="shared" si="9"/>
        <v>OK</v>
      </c>
      <c r="K145" s="58" t="str">
        <f t="shared" si="9"/>
        <v>OK</v>
      </c>
    </row>
    <row r="146" spans="1:11" x14ac:dyDescent="0.3">
      <c r="A146" s="57" t="s">
        <v>1014</v>
      </c>
      <c r="B146" s="58" t="str">
        <f t="shared" ref="B146:K146" si="10">IF(ABS(B46-B107)&lt;=0.000000001,"OK","BREAK")</f>
        <v>OK</v>
      </c>
      <c r="C146" s="58" t="str">
        <f t="shared" si="10"/>
        <v>OK</v>
      </c>
      <c r="D146" s="58" t="str">
        <f t="shared" si="10"/>
        <v>OK</v>
      </c>
      <c r="E146" s="58" t="str">
        <f t="shared" si="10"/>
        <v>OK</v>
      </c>
      <c r="F146" s="58" t="str">
        <f t="shared" si="10"/>
        <v>OK</v>
      </c>
      <c r="G146" s="58" t="str">
        <f t="shared" si="10"/>
        <v>OK</v>
      </c>
      <c r="H146" s="58" t="str">
        <f t="shared" si="10"/>
        <v>OK</v>
      </c>
      <c r="I146" s="58" t="str">
        <f t="shared" si="10"/>
        <v>OK</v>
      </c>
      <c r="J146" s="58" t="str">
        <f t="shared" si="10"/>
        <v>OK</v>
      </c>
      <c r="K146" s="58" t="str">
        <f t="shared" si="10"/>
        <v>OK</v>
      </c>
    </row>
    <row r="147" spans="1:11" x14ac:dyDescent="0.3">
      <c r="A147" s="57" t="s">
        <v>1015</v>
      </c>
      <c r="B147" s="58" t="str">
        <f t="shared" ref="B147:K147" si="11">IF(ABS(B45-B108)&lt;=0.5,"OK","BREAK")</f>
        <v>OK</v>
      </c>
      <c r="C147" s="58" t="str">
        <f t="shared" si="11"/>
        <v>OK</v>
      </c>
      <c r="D147" s="58" t="str">
        <f t="shared" si="11"/>
        <v>OK</v>
      </c>
      <c r="E147" s="58" t="str">
        <f t="shared" si="11"/>
        <v>OK</v>
      </c>
      <c r="F147" s="58" t="str">
        <f t="shared" si="11"/>
        <v>OK</v>
      </c>
      <c r="G147" s="58" t="str">
        <f t="shared" si="11"/>
        <v>OK</v>
      </c>
      <c r="H147" s="58" t="str">
        <f t="shared" si="11"/>
        <v>OK</v>
      </c>
      <c r="I147" s="58" t="str">
        <f t="shared" si="11"/>
        <v>OK</v>
      </c>
      <c r="J147" s="58" t="str">
        <f t="shared" si="11"/>
        <v>OK</v>
      </c>
      <c r="K147" s="58" t="str">
        <f t="shared" si="11"/>
        <v>OK</v>
      </c>
    </row>
    <row r="148" spans="1:11" x14ac:dyDescent="0.3">
      <c r="A148" s="57" t="s">
        <v>1016</v>
      </c>
      <c r="B148" s="58" t="str">
        <f t="shared" ref="B148:K148" si="12">IF(ABS(B50-B106)&lt;=Tolerance_USD,"OK","BREAK")</f>
        <v>OK</v>
      </c>
      <c r="C148" s="58" t="str">
        <f t="shared" si="12"/>
        <v>OK</v>
      </c>
      <c r="D148" s="58" t="str">
        <f t="shared" si="12"/>
        <v>OK</v>
      </c>
      <c r="E148" s="58" t="str">
        <f t="shared" si="12"/>
        <v>OK</v>
      </c>
      <c r="F148" s="58" t="str">
        <f t="shared" si="12"/>
        <v>OK</v>
      </c>
      <c r="G148" s="58" t="str">
        <f t="shared" si="12"/>
        <v>OK</v>
      </c>
      <c r="H148" s="58" t="str">
        <f t="shared" si="12"/>
        <v>OK</v>
      </c>
      <c r="I148" s="58" t="str">
        <f t="shared" si="12"/>
        <v>OK</v>
      </c>
      <c r="J148" s="58" t="str">
        <f t="shared" si="12"/>
        <v>OK</v>
      </c>
      <c r="K148" s="58" t="str">
        <f t="shared" si="12"/>
        <v>OK</v>
      </c>
    </row>
    <row r="149" spans="1:11" x14ac:dyDescent="0.3">
      <c r="A149" s="57" t="s">
        <v>1017</v>
      </c>
      <c r="B149" s="58" t="str">
        <f>IF(ABS(B55-B111)&lt;=Tolerance_USD,"OK","BREAK")</f>
        <v>OK</v>
      </c>
    </row>
    <row r="150" spans="1:11" x14ac:dyDescent="0.3">
      <c r="A150" s="57" t="s">
        <v>1018</v>
      </c>
      <c r="B150" s="58" t="str">
        <f>IF(ABS(B53-B112)&lt;=Tolerance_USD,"OK","BREAK")</f>
        <v>OK</v>
      </c>
    </row>
    <row r="151" spans="1:11" x14ac:dyDescent="0.3">
      <c r="A151" s="57" t="s">
        <v>1019</v>
      </c>
      <c r="B151" s="58" t="str">
        <f>IF(ABS(B54-B113)&lt;=Tolerance_USD,"OK","BREAK")</f>
        <v>OK</v>
      </c>
    </row>
    <row r="152" spans="1:11" x14ac:dyDescent="0.3">
      <c r="A152" s="57" t="s">
        <v>1020</v>
      </c>
      <c r="B152" s="58" t="str">
        <f>IF(ABS(B66-B114)&lt;=Tolerance_USD,"OK","BREAK")</f>
        <v>OK</v>
      </c>
    </row>
    <row r="153" spans="1:11" x14ac:dyDescent="0.3">
      <c r="A153" s="57" t="s">
        <v>1021</v>
      </c>
      <c r="B153" s="58" t="str">
        <f>IF(ABS(B68-B115)&lt;=Tolerance_USD,"OK","BREAK")</f>
        <v>OK</v>
      </c>
    </row>
    <row r="154" spans="1:11" x14ac:dyDescent="0.3">
      <c r="A154" s="57" t="s">
        <v>1022</v>
      </c>
      <c r="B154" s="58" t="str">
        <f>IF(ABS(B72-B116)&lt;=Tolerance_USD,"OK","BREAK")</f>
        <v>OK</v>
      </c>
    </row>
    <row r="155" spans="1:11" x14ac:dyDescent="0.3">
      <c r="A155" s="57" t="s">
        <v>1023</v>
      </c>
      <c r="B155" s="58" t="str">
        <f>IF(ABS(B75-B117)&lt;=Tolerance_USD,"OK","BREAK")</f>
        <v>OK</v>
      </c>
    </row>
    <row r="156" spans="1:11" x14ac:dyDescent="0.3">
      <c r="A156" s="57" t="s">
        <v>1024</v>
      </c>
      <c r="B156" s="58" t="str">
        <f>IF(ABS(B79-B122)&lt;=Tolerance_USD,"OK","BREAK")</f>
        <v>OK</v>
      </c>
    </row>
    <row r="157" spans="1:11" x14ac:dyDescent="0.3">
      <c r="A157" s="57" t="s">
        <v>1025</v>
      </c>
      <c r="B157" s="58" t="str">
        <f>IF(ABS(B80-B123)&lt;=Tolerance_USD,"OK","BREAK")</f>
        <v>OK</v>
      </c>
    </row>
    <row r="158" spans="1:11" x14ac:dyDescent="0.3">
      <c r="A158" s="57" t="s">
        <v>1026</v>
      </c>
      <c r="B158" s="58" t="str">
        <f>IF(ABS(B87-B126)&lt;=1,"OK","BREAK")</f>
        <v>OK</v>
      </c>
    </row>
    <row r="159" spans="1:11" x14ac:dyDescent="0.3">
      <c r="A159" s="57" t="s">
        <v>1027</v>
      </c>
      <c r="B159" s="58" t="str">
        <f>IF(ABS(B85-B125)&lt;=1,"OK","BREAK")</f>
        <v>OK</v>
      </c>
    </row>
    <row r="160" spans="1:11" x14ac:dyDescent="0.3">
      <c r="A160" s="57" t="s">
        <v>1028</v>
      </c>
      <c r="B160" s="58" t="str">
        <f>IF(ABS(B84-B124)&lt;=1,"OK","BREAK")</f>
        <v>OK</v>
      </c>
    </row>
    <row r="161" spans="1:2" x14ac:dyDescent="0.3">
      <c r="A161" s="57" t="s">
        <v>1029</v>
      </c>
      <c r="B161" s="58" t="str">
        <f>IF(ABS(B24-B109)&lt;=0.000000001,"OK","BREAK")</f>
        <v>OK</v>
      </c>
    </row>
    <row r="162" spans="1:2" x14ac:dyDescent="0.3">
      <c r="A162" s="57" t="s">
        <v>1030</v>
      </c>
      <c r="B162" s="58" t="str">
        <f>IF(ABS(B26-B110)&lt;=0.000000001,"OK","BREAK")</f>
        <v>OK</v>
      </c>
    </row>
    <row r="163" spans="1:2" x14ac:dyDescent="0.3">
      <c r="A163" s="57" t="s">
        <v>1031</v>
      </c>
      <c r="B163" s="58" t="str">
        <f>IF(ABS(B60-B132)&lt;=0.01,"OK","BREAK")</f>
        <v>OK</v>
      </c>
    </row>
    <row r="164" spans="1:2" x14ac:dyDescent="0.3">
      <c r="A164" s="57" t="s">
        <v>1032</v>
      </c>
      <c r="B164" s="58" t="str">
        <f>IF(ABS(B61-B133)&lt;=0.01,"OK","BREAK")</f>
        <v>OK</v>
      </c>
    </row>
    <row r="165" spans="1:2" x14ac:dyDescent="0.3">
      <c r="A165" s="57" t="s">
        <v>1033</v>
      </c>
      <c r="B165" s="58" t="str">
        <f>IF(ABS(B36-B137)&lt;=Tolerance_USD,"OK","BREAK")</f>
        <v>OK</v>
      </c>
    </row>
    <row r="166" spans="1:2" x14ac:dyDescent="0.3">
      <c r="A166" s="57" t="s">
        <v>1034</v>
      </c>
      <c r="B166" s="58" t="str">
        <f>IF(ABS(B38-B134)&lt;=Tolerance_USD,"OK","BREAK")</f>
        <v>OK</v>
      </c>
    </row>
    <row r="167" spans="1:2" x14ac:dyDescent="0.3">
      <c r="A167" s="57" t="s">
        <v>1035</v>
      </c>
      <c r="B167" s="58" t="str">
        <f>IF(ABS(B40-B135)&lt;=Tolerance_USD,"OK","BREAK")</f>
        <v>OK</v>
      </c>
    </row>
    <row r="168" spans="1:2" x14ac:dyDescent="0.3">
      <c r="A168" s="57" t="s">
        <v>1036</v>
      </c>
      <c r="B168" s="58" t="str">
        <f>IF(ABS(B41-B136)&lt;=Tolerance_USD,"OK","BREAK")</f>
        <v>OK</v>
      </c>
    </row>
    <row r="169" spans="1:2" x14ac:dyDescent="0.3">
      <c r="A169" s="57" t="s">
        <v>1037</v>
      </c>
      <c r="B169" s="58" t="str">
        <f>IF(ABS(B29-B127)&lt;=0.000000001,"OK","BREAK")</f>
        <v>OK</v>
      </c>
    </row>
    <row r="170" spans="1:2" x14ac:dyDescent="0.3">
      <c r="A170" s="57" t="s">
        <v>1038</v>
      </c>
      <c r="B170" s="58" t="str">
        <f>IF(ABS(B88-B128)&lt;=0.01,"OK","BREAK")</f>
        <v>OK</v>
      </c>
    </row>
    <row r="171" spans="1:2" x14ac:dyDescent="0.3">
      <c r="A171" s="57" t="s">
        <v>1039</v>
      </c>
      <c r="B171" s="58" t="str">
        <f>IF(ABS(B89-B129)&lt;=0.01,"OK","BREAK")</f>
        <v>OK</v>
      </c>
    </row>
    <row r="172" spans="1:2" x14ac:dyDescent="0.3">
      <c r="A172" s="57" t="s">
        <v>1040</v>
      </c>
      <c r="B172" s="58" t="str">
        <f>IF(ABS(B90-B130)&lt;=0.01,"OK","BREAK")</f>
        <v>OK</v>
      </c>
    </row>
    <row r="173" spans="1:2" x14ac:dyDescent="0.3">
      <c r="A173" s="57" t="s">
        <v>1041</v>
      </c>
      <c r="B173" s="58" t="str">
        <f>IF(ABS(B91-(B90-B88))&lt;=0.01,"OK","BREAK")</f>
        <v>OK</v>
      </c>
    </row>
    <row r="175" spans="1:2" x14ac:dyDescent="0.3">
      <c r="A175" s="1" t="s">
        <v>1042</v>
      </c>
    </row>
  </sheetData>
  <sheetProtection sheet="1" formatCells="0" formatColumns="0" formatRows="0" insertRows="0" deleteRows="0" sort="0" autoFilter="0"/>
  <mergeCells count="3">
    <mergeCell ref="A1:K1"/>
    <mergeCell ref="A2:K2"/>
    <mergeCell ref="A3:K3"/>
  </mergeCells>
  <conditionalFormatting sqref="B11:B12">
    <cfRule type="expression" dxfId="65" priority="7">
      <formula>B11="OK"</formula>
    </cfRule>
    <cfRule type="expression" dxfId="64" priority="8">
      <formula>B11="BREAK"</formula>
    </cfRule>
  </conditionalFormatting>
  <conditionalFormatting sqref="B23">
    <cfRule type="expression" dxfId="63" priority="12">
      <formula>B23="BREAK"</formula>
    </cfRule>
    <cfRule type="expression" dxfId="62" priority="11">
      <formula>B23="OK"</formula>
    </cfRule>
  </conditionalFormatting>
  <conditionalFormatting sqref="B27:B28">
    <cfRule type="expression" dxfId="61" priority="13">
      <formula>B27="OK"</formula>
    </cfRule>
    <cfRule type="expression" dxfId="60" priority="14">
      <formula>B27="BREAK"</formula>
    </cfRule>
  </conditionalFormatting>
  <conditionalFormatting sqref="B42">
    <cfRule type="expression" dxfId="59" priority="17">
      <formula>B42="OK"</formula>
    </cfRule>
    <cfRule type="expression" dxfId="58" priority="18">
      <formula>B42="BREAK"</formula>
    </cfRule>
  </conditionalFormatting>
  <conditionalFormatting sqref="B56:B57">
    <cfRule type="expression" dxfId="57" priority="21">
      <formula>B56="OK"</formula>
    </cfRule>
    <cfRule type="expression" dxfId="56" priority="22">
      <formula>B56="BREAK"</formula>
    </cfRule>
  </conditionalFormatting>
  <conditionalFormatting sqref="B81:B82">
    <cfRule type="expression" dxfId="55" priority="25">
      <formula>B81="OK"</formula>
    </cfRule>
    <cfRule type="expression" dxfId="54" priority="26">
      <formula>B81="BREAK"</formula>
    </cfRule>
  </conditionalFormatting>
  <conditionalFormatting sqref="B92:B93">
    <cfRule type="expression" dxfId="53" priority="29">
      <formula>B92="OK"</formula>
    </cfRule>
    <cfRule type="expression" dxfId="52" priority="30">
      <formula>B92="BREAK"</formula>
    </cfRule>
  </conditionalFormatting>
  <conditionalFormatting sqref="B149:B173">
    <cfRule type="expression" dxfId="51" priority="43">
      <formula>B149="OK"</formula>
    </cfRule>
    <cfRule type="expression" dxfId="50" priority="44">
      <formula>B149="BREAK"</formula>
    </cfRule>
  </conditionalFormatting>
  <conditionalFormatting sqref="B8:D8">
    <cfRule type="expression" dxfId="49" priority="2">
      <formula>B8="BREAK"</formula>
    </cfRule>
    <cfRule type="expression" dxfId="48" priority="1">
      <formula>B8="OK"</formula>
    </cfRule>
  </conditionalFormatting>
  <conditionalFormatting sqref="B51:K51">
    <cfRule type="expression" dxfId="47" priority="19">
      <formula>B51="OK"</formula>
    </cfRule>
    <cfRule type="expression" dxfId="46" priority="20">
      <formula>B51="BREAK"</formula>
    </cfRule>
  </conditionalFormatting>
  <conditionalFormatting sqref="B144:K148">
    <cfRule type="expression" dxfId="45" priority="33">
      <formula>B144="OK"</formula>
    </cfRule>
    <cfRule type="expression" dxfId="44" priority="34">
      <formula>B144="BREAK"</formula>
    </cfRule>
  </conditionalFormatting>
  <conditionalFormatting sqref="E9:F9">
    <cfRule type="expression" dxfId="43" priority="3">
      <formula>E9="OK"</formula>
    </cfRule>
    <cfRule type="expression" dxfId="42" priority="4">
      <formula>E9="BREAK"</formula>
    </cfRule>
  </conditionalFormatting>
  <conditionalFormatting sqref="G10:K10">
    <cfRule type="expression" dxfId="41" priority="5">
      <formula>G10="OK"</formula>
    </cfRule>
    <cfRule type="expression" dxfId="40" priority="6">
      <formula>G10="BREAK"</formula>
    </cfRule>
  </conditionalFormatting>
  <pageMargins left="0.7" right="0.7" top="0.75" bottom="0.75" header="0.3" footer="0.3"/>
  <pageSetup fitToHeight="0" orientation="landscape" useFirstPageNumber="1" horizontalDpi="4294967295" verticalDpi="4294967295"/>
  <headerFooter>
    <oddHeader>&amp;L&amp;"Calibri,Bold"15_DCF&amp;R&amp;P / &amp;N</oddHeader>
    <oddFooter>&amp;LInternal model — not investment advice&amp;RAs-of 2026-10-06</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F766E"/>
    <pageSetUpPr fitToPage="1"/>
  </sheetPr>
  <dimension ref="A1:G79"/>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76" customWidth="1"/>
    <col min="2" max="7" width="15" customWidth="1"/>
  </cols>
  <sheetData>
    <row r="1" spans="1:7" ht="22.05" customHeight="1" x14ac:dyDescent="0.4">
      <c r="A1" s="91" t="s">
        <v>1043</v>
      </c>
      <c r="B1" s="91"/>
      <c r="C1" s="91"/>
      <c r="D1" s="91"/>
      <c r="E1" s="91"/>
      <c r="F1" s="91"/>
      <c r="G1" s="91"/>
    </row>
    <row r="2" spans="1:7" x14ac:dyDescent="0.3">
      <c r="A2" s="92" t="s">
        <v>1044</v>
      </c>
      <c r="B2" s="92"/>
      <c r="C2" s="92"/>
      <c r="D2" s="92"/>
      <c r="E2" s="92"/>
      <c r="F2" s="92"/>
      <c r="G2" s="92"/>
    </row>
    <row r="3" spans="1:7" x14ac:dyDescent="0.3">
      <c r="A3" s="92" t="s">
        <v>1045</v>
      </c>
      <c r="B3" s="92"/>
      <c r="C3" s="92"/>
      <c r="D3" s="92"/>
      <c r="E3" s="92"/>
      <c r="F3" s="92"/>
      <c r="G3" s="92"/>
    </row>
    <row r="4" spans="1:7" ht="19.95" customHeight="1" x14ac:dyDescent="0.3">
      <c r="A4" s="2" t="s">
        <v>1046</v>
      </c>
    </row>
    <row r="5" spans="1:7" ht="18" customHeight="1" x14ac:dyDescent="0.3">
      <c r="A5" s="29" t="s">
        <v>1047</v>
      </c>
    </row>
    <row r="6" spans="1:7" x14ac:dyDescent="0.3">
      <c r="A6" s="1" t="s">
        <v>1048</v>
      </c>
    </row>
    <row r="7" spans="1:7" x14ac:dyDescent="0.3">
      <c r="A7" s="1" t="s">
        <v>1049</v>
      </c>
    </row>
    <row r="8" spans="1:7" x14ac:dyDescent="0.3">
      <c r="A8" s="1" t="s">
        <v>1050</v>
      </c>
    </row>
    <row r="9" spans="1:7" x14ac:dyDescent="0.3">
      <c r="A9" s="48" t="s">
        <v>1051</v>
      </c>
      <c r="B9" s="51">
        <f>Cover_WACC</f>
        <v>0.111225</v>
      </c>
    </row>
    <row r="10" spans="1:7" x14ac:dyDescent="0.3">
      <c r="A10" s="48" t="s">
        <v>1052</v>
      </c>
      <c r="B10" s="51">
        <f>Cover_TerminalGrowth</f>
        <v>2.5000000000000001E-2</v>
      </c>
    </row>
    <row r="11" spans="1:7" x14ac:dyDescent="0.3">
      <c r="A11" s="34" t="s">
        <v>1053</v>
      </c>
      <c r="B11" s="66">
        <f>DCF_PerShareCanonical</f>
        <v>112.74136039195822</v>
      </c>
    </row>
    <row r="12" spans="1:7" ht="18" customHeight="1" x14ac:dyDescent="0.3">
      <c r="A12" s="29" t="s">
        <v>1054</v>
      </c>
    </row>
    <row r="13" spans="1:7" x14ac:dyDescent="0.3">
      <c r="A13" s="1" t="s">
        <v>1055</v>
      </c>
    </row>
    <row r="14" spans="1:7" x14ac:dyDescent="0.3">
      <c r="A14" s="38" t="s">
        <v>1056</v>
      </c>
      <c r="B14" s="38" t="s">
        <v>1057</v>
      </c>
      <c r="C14" s="38" t="s">
        <v>1058</v>
      </c>
      <c r="D14" s="38" t="s">
        <v>1059</v>
      </c>
    </row>
    <row r="15" spans="1:7" x14ac:dyDescent="0.3">
      <c r="A15" s="48" t="s">
        <v>1060</v>
      </c>
      <c r="B15" s="71">
        <v>0.1308</v>
      </c>
      <c r="C15" s="71">
        <v>0.111225</v>
      </c>
      <c r="D15" s="71">
        <v>9.3150000000000011E-2</v>
      </c>
    </row>
    <row r="16" spans="1:7" x14ac:dyDescent="0.3">
      <c r="A16" s="48" t="s">
        <v>1061</v>
      </c>
      <c r="B16" s="71">
        <v>0.02</v>
      </c>
      <c r="C16" s="71">
        <v>2.5000000000000001E-2</v>
      </c>
      <c r="D16" s="71">
        <v>3.0000000000000002E-2</v>
      </c>
    </row>
    <row r="17" spans="1:4" x14ac:dyDescent="0.3">
      <c r="A17" s="48" t="s">
        <v>940</v>
      </c>
      <c r="B17" s="72">
        <v>2605834.3324966077</v>
      </c>
      <c r="C17" s="72">
        <v>6181615.2261307864</v>
      </c>
      <c r="D17" s="72">
        <v>15193780.102833711</v>
      </c>
    </row>
    <row r="18" spans="1:4" x14ac:dyDescent="0.3">
      <c r="A18" s="48" t="s">
        <v>947</v>
      </c>
      <c r="B18" s="72">
        <v>1400750.2975497318</v>
      </c>
      <c r="C18" s="72">
        <v>1435448.7299135076</v>
      </c>
      <c r="D18" s="72">
        <v>1473856.286977601</v>
      </c>
    </row>
    <row r="19" spans="1:4" x14ac:dyDescent="0.3">
      <c r="A19" s="48" t="s">
        <v>948</v>
      </c>
      <c r="B19" s="72">
        <v>4006584.6300463397</v>
      </c>
      <c r="C19" s="72">
        <v>7617063.9560442939</v>
      </c>
      <c r="D19" s="72">
        <v>16667636.389811311</v>
      </c>
    </row>
    <row r="20" spans="1:4" x14ac:dyDescent="0.3">
      <c r="A20" s="48" t="s">
        <v>1062</v>
      </c>
      <c r="B20" s="73">
        <v>61.469779056479048</v>
      </c>
      <c r="C20" s="73">
        <v>112.74136039195821</v>
      </c>
      <c r="D20" s="73">
        <v>238.06811086425762</v>
      </c>
    </row>
    <row r="21" spans="1:4" x14ac:dyDescent="0.3">
      <c r="A21" s="48" t="s">
        <v>1063</v>
      </c>
      <c r="B21" s="73">
        <v>62.084476847043838</v>
      </c>
      <c r="C21" s="73">
        <v>113.86877399587779</v>
      </c>
      <c r="D21" s="73">
        <v>240.44879197290018</v>
      </c>
    </row>
    <row r="22" spans="1:4" x14ac:dyDescent="0.3">
      <c r="A22" s="48" t="s">
        <v>1064</v>
      </c>
      <c r="B22" s="73">
        <v>80.033318846733138</v>
      </c>
      <c r="C22" s="73">
        <v>152.15425719411317</v>
      </c>
      <c r="D22" s="73">
        <v>332.94348697977017</v>
      </c>
    </row>
    <row r="23" spans="1:4" x14ac:dyDescent="0.3">
      <c r="A23" s="48" t="s">
        <v>1065</v>
      </c>
      <c r="B23" s="72">
        <v>1163142.6200426649</v>
      </c>
      <c r="C23" s="72">
        <v>1193853.5172095529</v>
      </c>
      <c r="D23" s="72">
        <v>1225231.8737488515</v>
      </c>
    </row>
    <row r="24" spans="1:4" x14ac:dyDescent="0.3">
      <c r="A24" s="48" t="s">
        <v>1066</v>
      </c>
      <c r="B24" s="72">
        <v>118939.36422897462</v>
      </c>
      <c r="C24" s="72">
        <v>157315.28583356575</v>
      </c>
      <c r="D24" s="72">
        <v>199503.77156720852</v>
      </c>
    </row>
    <row r="25" spans="1:4" x14ac:dyDescent="0.3">
      <c r="A25" s="57" t="s">
        <v>1067</v>
      </c>
      <c r="B25" s="58" t="str">
        <f>IF(ABS(C20-Sens_Headline_Canonical)&lt;=0.01,"OK","BREAK")</f>
        <v>OK</v>
      </c>
    </row>
    <row r="26" spans="1:4" x14ac:dyDescent="0.3">
      <c r="A26" s="57" t="s">
        <v>1068</v>
      </c>
      <c r="B26" s="58" t="str">
        <f>IF(B20-C20&lt;0,"OK","BREAK")</f>
        <v>OK</v>
      </c>
    </row>
    <row r="27" spans="1:4" x14ac:dyDescent="0.3">
      <c r="A27" s="57" t="s">
        <v>1069</v>
      </c>
      <c r="B27" s="58" t="str">
        <f>IF(D20-C20&gt;0,"OK","BREAK")</f>
        <v>OK</v>
      </c>
    </row>
    <row r="28" spans="1:4" x14ac:dyDescent="0.3">
      <c r="A28" s="57" t="s">
        <v>1070</v>
      </c>
      <c r="B28" s="58" t="str">
        <f>IF(B17-C17&lt;0,"OK","BREAK")</f>
        <v>OK</v>
      </c>
    </row>
    <row r="29" spans="1:4" x14ac:dyDescent="0.3">
      <c r="A29" s="57" t="s">
        <v>1071</v>
      </c>
      <c r="B29" s="58" t="str">
        <f>IF(D17-C17&gt;0,"OK","BREAK")</f>
        <v>OK</v>
      </c>
    </row>
    <row r="30" spans="1:4" x14ac:dyDescent="0.3">
      <c r="A30" s="57" t="s">
        <v>1072</v>
      </c>
      <c r="B30" s="58" t="str">
        <f>IF(ABS(B19-(B17+B18))&lt;=Tolerance_USD,"OK","BREAK")</f>
        <v>OK</v>
      </c>
      <c r="C30" s="58" t="str">
        <f>IF(ABS(C19-(C17+C18))&lt;=Tolerance_USD,"OK","BREAK")</f>
        <v>OK</v>
      </c>
      <c r="D30" s="58" t="str">
        <f>IF(ABS(D19-(D17+D18))&lt;=Tolerance_USD,"OK","BREAK")</f>
        <v>OK</v>
      </c>
    </row>
    <row r="31" spans="1:4" x14ac:dyDescent="0.3">
      <c r="A31" s="57" t="s">
        <v>1073</v>
      </c>
      <c r="B31" s="58" t="str">
        <f>IF(B22-B20&gt;0,"OK","BREAK")</f>
        <v>OK</v>
      </c>
      <c r="C31" s="58" t="str">
        <f>IF(C22-C20&gt;0,"OK","BREAK")</f>
        <v>OK</v>
      </c>
      <c r="D31" s="58" t="str">
        <f>IF(D22-D20&gt;0,"OK","BREAK")</f>
        <v>OK</v>
      </c>
    </row>
    <row r="32" spans="1:4" ht="18" customHeight="1" x14ac:dyDescent="0.3">
      <c r="A32" s="29" t="s">
        <v>1074</v>
      </c>
    </row>
    <row r="33" spans="1:7" x14ac:dyDescent="0.3">
      <c r="A33" s="1" t="s">
        <v>1075</v>
      </c>
    </row>
    <row r="34" spans="1:7" x14ac:dyDescent="0.3">
      <c r="A34" s="38" t="s">
        <v>1076</v>
      </c>
      <c r="B34" s="38" t="s">
        <v>884</v>
      </c>
      <c r="C34" s="74">
        <v>0.01</v>
      </c>
      <c r="D34" s="74">
        <v>1.4999999999999999E-2</v>
      </c>
      <c r="E34" s="74">
        <v>0.02</v>
      </c>
      <c r="F34" s="74">
        <v>2.5000000000000001E-2</v>
      </c>
      <c r="G34" s="74">
        <v>0.03</v>
      </c>
    </row>
    <row r="35" spans="1:7" x14ac:dyDescent="0.3">
      <c r="A35" s="48" t="s">
        <v>1077</v>
      </c>
      <c r="B35" s="75">
        <v>9.1225000000000001E-2</v>
      </c>
      <c r="C35" s="73">
        <v>127.04264364247157</v>
      </c>
      <c r="D35" s="73">
        <v>131.35177170695758</v>
      </c>
      <c r="E35" s="73">
        <v>136.27005662153411</v>
      </c>
      <c r="F35" s="73">
        <v>141.93547275768245</v>
      </c>
      <c r="G35" s="73">
        <v>148.53106573930756</v>
      </c>
    </row>
    <row r="36" spans="1:7" x14ac:dyDescent="0.3">
      <c r="A36" s="48" t="s">
        <v>1078</v>
      </c>
      <c r="B36" s="75">
        <v>9.6225000000000005E-2</v>
      </c>
      <c r="C36" s="73">
        <v>120.4757689790595</v>
      </c>
      <c r="D36" s="73">
        <v>124.16175241161483</v>
      </c>
      <c r="E36" s="73">
        <v>128.33502201874009</v>
      </c>
      <c r="F36" s="73">
        <v>133.09820037142219</v>
      </c>
      <c r="G36" s="73">
        <v>138.58490213456656</v>
      </c>
    </row>
    <row r="37" spans="1:7" x14ac:dyDescent="0.3">
      <c r="A37" s="48" t="s">
        <v>1079</v>
      </c>
      <c r="B37" s="75">
        <v>0.10122500000000001</v>
      </c>
      <c r="C37" s="73">
        <v>114.63271697486131</v>
      </c>
      <c r="D37" s="73">
        <v>117.80865829789873</v>
      </c>
      <c r="E37" s="73">
        <v>121.37895080662162</v>
      </c>
      <c r="F37" s="73">
        <v>125.4211972269766</v>
      </c>
      <c r="G37" s="73">
        <v>130.03479115214705</v>
      </c>
    </row>
    <row r="38" spans="1:7" x14ac:dyDescent="0.3">
      <c r="A38" s="48" t="s">
        <v>1080</v>
      </c>
      <c r="B38" s="75">
        <v>0.10622500000000001</v>
      </c>
      <c r="C38" s="73">
        <v>109.40073092620349</v>
      </c>
      <c r="D38" s="73">
        <v>112.15498822315369</v>
      </c>
      <c r="E38" s="73">
        <v>115.23169356702626</v>
      </c>
      <c r="F38" s="73">
        <v>118.69039415023529</v>
      </c>
      <c r="G38" s="73">
        <v>122.6062612235522</v>
      </c>
    </row>
    <row r="39" spans="1:7" x14ac:dyDescent="0.3">
      <c r="A39" s="48" t="s">
        <v>1081</v>
      </c>
      <c r="B39" s="75">
        <v>0.111225</v>
      </c>
      <c r="C39" s="73">
        <v>104.68932254232618</v>
      </c>
      <c r="D39" s="73">
        <v>107.09180855363017</v>
      </c>
      <c r="E39" s="73">
        <v>109.76039082732736</v>
      </c>
      <c r="F39" s="73">
        <v>112.74136039195821</v>
      </c>
      <c r="G39" s="73">
        <v>116.09240649792592</v>
      </c>
    </row>
    <row r="40" spans="1:7" x14ac:dyDescent="0.3">
      <c r="A40" s="48" t="s">
        <v>1082</v>
      </c>
      <c r="B40" s="75">
        <v>0.11622499999999999</v>
      </c>
      <c r="C40" s="73">
        <v>100.4250318139571</v>
      </c>
      <c r="D40" s="73">
        <v>102.53169851426969</v>
      </c>
      <c r="E40" s="73">
        <v>104.85978571740181</v>
      </c>
      <c r="F40" s="73">
        <v>107.44570128898559</v>
      </c>
      <c r="G40" s="73">
        <v>110.3342979460611</v>
      </c>
    </row>
    <row r="41" spans="1:7" x14ac:dyDescent="0.3">
      <c r="A41" s="48" t="s">
        <v>1083</v>
      </c>
      <c r="B41" s="75">
        <v>0.121225</v>
      </c>
      <c r="C41" s="73">
        <v>96.54760021964664</v>
      </c>
      <c r="D41" s="73">
        <v>98.403687856256184</v>
      </c>
      <c r="E41" s="73">
        <v>100.44540760357215</v>
      </c>
      <c r="F41" s="73">
        <v>102.70169665733987</v>
      </c>
      <c r="G41" s="73">
        <v>105.20783635049193</v>
      </c>
    </row>
    <row r="42" spans="1:7" x14ac:dyDescent="0.3">
      <c r="A42" s="48" t="s">
        <v>1084</v>
      </c>
      <c r="B42" s="75">
        <v>0.126225</v>
      </c>
      <c r="C42" s="73">
        <v>93.007131660606774</v>
      </c>
      <c r="D42" s="73">
        <v>94.649559908326694</v>
      </c>
      <c r="E42" s="73">
        <v>96.448680746997155</v>
      </c>
      <c r="F42" s="73">
        <v>98.427713626993665</v>
      </c>
      <c r="G42" s="73">
        <v>100.61470407307475</v>
      </c>
    </row>
    <row r="43" spans="1:7" x14ac:dyDescent="0.3">
      <c r="A43" s="48" t="s">
        <v>1085</v>
      </c>
      <c r="B43" s="75">
        <v>0.13122500000000001</v>
      </c>
      <c r="C43" s="73">
        <v>89.76195595070341</v>
      </c>
      <c r="D43" s="73">
        <v>91.221108843229217</v>
      </c>
      <c r="E43" s="73">
        <v>92.813352227958163</v>
      </c>
      <c r="F43" s="73">
        <v>94.557479772887859</v>
      </c>
      <c r="G43" s="73">
        <v>96.475998392347918</v>
      </c>
    </row>
    <row r="44" spans="1:7" x14ac:dyDescent="0.3">
      <c r="A44" s="57" t="s">
        <v>1086</v>
      </c>
      <c r="B44" s="58" t="str">
        <f>IF(ABS(B35-(Sens_WACC_Headline-0.02))&lt;=0.000000001,"OK","BREAK")</f>
        <v>OK</v>
      </c>
    </row>
    <row r="45" spans="1:7" x14ac:dyDescent="0.3">
      <c r="A45" s="57" t="s">
        <v>1087</v>
      </c>
      <c r="B45" s="58" t="str">
        <f>IF(ABS(B43-(Sens_WACC_Headline+0.02))&lt;=0.000000001,"OK","BREAK")</f>
        <v>OK</v>
      </c>
    </row>
    <row r="46" spans="1:7" x14ac:dyDescent="0.3">
      <c r="A46" s="57" t="s">
        <v>1088</v>
      </c>
      <c r="B46" s="58" t="str">
        <f>IF(ABS(B39-Sens_WACC_Headline)&lt;=0.000000001,"OK","BREAK")</f>
        <v>OK</v>
      </c>
    </row>
    <row r="47" spans="1:7" x14ac:dyDescent="0.3">
      <c r="A47" s="57" t="s">
        <v>1089</v>
      </c>
      <c r="B47" s="58" t="str">
        <f>IF(ABS(C34-0.01)&lt;=0.000000000001,"OK","BREAK")</f>
        <v>OK</v>
      </c>
    </row>
    <row r="48" spans="1:7" x14ac:dyDescent="0.3">
      <c r="A48" s="57" t="s">
        <v>1090</v>
      </c>
      <c r="B48" s="58" t="str">
        <f>IF(ABS(G34-0.03)&lt;=0.000000000001,"OK","BREAK")</f>
        <v>OK</v>
      </c>
    </row>
    <row r="49" spans="1:4" x14ac:dyDescent="0.3">
      <c r="A49" s="57" t="s">
        <v>1091</v>
      </c>
      <c r="B49" s="58" t="str">
        <f>IF(ABS(F34-Sens_G_Headline)&lt;=0.000000000001,"OK","BREAK")</f>
        <v>OK</v>
      </c>
    </row>
    <row r="50" spans="1:4" x14ac:dyDescent="0.3">
      <c r="A50" s="57" t="s">
        <v>1092</v>
      </c>
      <c r="B50" s="58" t="str">
        <f>IF(ABS(Sens_Center-Sens_Headline_Canonical)&lt;=0.01,"OK","BREAK")</f>
        <v>OK</v>
      </c>
    </row>
    <row r="51" spans="1:4" x14ac:dyDescent="0.3">
      <c r="A51" s="57" t="s">
        <v>1093</v>
      </c>
      <c r="B51" s="58" t="str">
        <f>IF(C35-C43&gt;0,"OK","BREAK")</f>
        <v>OK</v>
      </c>
    </row>
    <row r="52" spans="1:4" x14ac:dyDescent="0.3">
      <c r="A52" s="57" t="s">
        <v>1094</v>
      </c>
      <c r="B52" s="58" t="str">
        <f>IF(G35-G43&gt;0,"OK","BREAK")</f>
        <v>OK</v>
      </c>
    </row>
    <row r="53" spans="1:4" x14ac:dyDescent="0.3">
      <c r="A53" s="57" t="s">
        <v>1095</v>
      </c>
      <c r="B53" s="58" t="str">
        <f>IF(G35-C35&gt;0,"OK","BREAK")</f>
        <v>OK</v>
      </c>
    </row>
    <row r="54" spans="1:4" x14ac:dyDescent="0.3">
      <c r="A54" s="57" t="s">
        <v>1096</v>
      </c>
      <c r="B54" s="58" t="str">
        <f>IF(G43-C43&gt;0,"OK","BREAK")</f>
        <v>OK</v>
      </c>
    </row>
    <row r="55" spans="1:4" ht="18" customHeight="1" x14ac:dyDescent="0.3">
      <c r="A55" s="29" t="s">
        <v>1097</v>
      </c>
    </row>
    <row r="56" spans="1:4" x14ac:dyDescent="0.3">
      <c r="A56" s="1" t="s">
        <v>1098</v>
      </c>
    </row>
    <row r="57" spans="1:4" x14ac:dyDescent="0.3">
      <c r="A57" s="38" t="s">
        <v>1099</v>
      </c>
      <c r="B57" s="38" t="s">
        <v>1100</v>
      </c>
      <c r="C57" s="38" t="s">
        <v>1058</v>
      </c>
      <c r="D57" s="38" t="s">
        <v>1101</v>
      </c>
    </row>
    <row r="58" spans="1:4" x14ac:dyDescent="0.3">
      <c r="A58" s="48" t="s">
        <v>1102</v>
      </c>
      <c r="B58" s="73">
        <v>109.59486292785223</v>
      </c>
      <c r="C58" s="73">
        <v>112.74136039195821</v>
      </c>
      <c r="D58" s="73">
        <v>115.97441494428162</v>
      </c>
    </row>
    <row r="59" spans="1:4" x14ac:dyDescent="0.3">
      <c r="A59" s="48" t="s">
        <v>1103</v>
      </c>
      <c r="B59" s="73">
        <v>116.48853876032133</v>
      </c>
      <c r="C59" s="73">
        <v>112.74136039195821</v>
      </c>
      <c r="D59" s="73">
        <v>108.99418202359507</v>
      </c>
    </row>
    <row r="60" spans="1:4" x14ac:dyDescent="0.3">
      <c r="A60" s="48" t="s">
        <v>1104</v>
      </c>
      <c r="B60" s="73">
        <v>112.89026791098487</v>
      </c>
      <c r="C60" s="73">
        <v>112.74136039195821</v>
      </c>
      <c r="D60" s="73">
        <v>112.59618907985623</v>
      </c>
    </row>
    <row r="61" spans="1:4" x14ac:dyDescent="0.3">
      <c r="A61" s="48" t="s">
        <v>1105</v>
      </c>
      <c r="B61" s="73">
        <v>113.86877399587779</v>
      </c>
      <c r="C61" s="73">
        <v>112.74136039195821</v>
      </c>
      <c r="D61" s="73">
        <v>111.63605293713508</v>
      </c>
    </row>
    <row r="62" spans="1:4" x14ac:dyDescent="0.3">
      <c r="A62" s="57" t="s">
        <v>1106</v>
      </c>
      <c r="B62" s="67">
        <f>B58-C58</f>
        <v>-3.1464974641059769</v>
      </c>
      <c r="C62" s="30" t="s">
        <v>428</v>
      </c>
      <c r="D62" s="67">
        <f>D58-C58</f>
        <v>3.2330545523234093</v>
      </c>
    </row>
    <row r="63" spans="1:4" x14ac:dyDescent="0.3">
      <c r="A63" s="57" t="s">
        <v>1107</v>
      </c>
      <c r="B63" s="67">
        <f>B59-C59</f>
        <v>3.747178368363123</v>
      </c>
      <c r="C63" s="30" t="s">
        <v>428</v>
      </c>
      <c r="D63" s="67">
        <f>D59-C59</f>
        <v>-3.7471783683631372</v>
      </c>
    </row>
    <row r="64" spans="1:4" x14ac:dyDescent="0.3">
      <c r="A64" s="57" t="s">
        <v>1108</v>
      </c>
      <c r="B64" s="67">
        <f>B60-C60</f>
        <v>0.14890751902666466</v>
      </c>
      <c r="C64" s="30" t="s">
        <v>428</v>
      </c>
      <c r="D64" s="67">
        <f>D60-C60</f>
        <v>-0.14517131210197931</v>
      </c>
    </row>
    <row r="65" spans="1:4" x14ac:dyDescent="0.3">
      <c r="A65" s="57" t="s">
        <v>1109</v>
      </c>
      <c r="B65" s="67">
        <f>B61-C61</f>
        <v>1.1274136039195781</v>
      </c>
      <c r="C65" s="30" t="s">
        <v>428</v>
      </c>
      <c r="D65" s="67">
        <f>D61-C61</f>
        <v>-1.1053074548231336</v>
      </c>
    </row>
    <row r="66" spans="1:4" x14ac:dyDescent="0.3">
      <c r="A66" s="57" t="s">
        <v>1110</v>
      </c>
      <c r="B66" s="58" t="str">
        <f>IF(ABS(C58-Sens_Headline_Canonical)&lt;=0.01,"OK","BREAK")</f>
        <v>OK</v>
      </c>
    </row>
    <row r="67" spans="1:4" x14ac:dyDescent="0.3">
      <c r="A67" s="57" t="s">
        <v>1111</v>
      </c>
      <c r="B67" s="58" t="str">
        <f>IF(ABS(C59-Sens_Headline_Canonical)&lt;=0.01,"OK","BREAK")</f>
        <v>OK</v>
      </c>
    </row>
    <row r="68" spans="1:4" x14ac:dyDescent="0.3">
      <c r="A68" s="57" t="s">
        <v>1112</v>
      </c>
      <c r="B68" s="58" t="str">
        <f>IF(ABS(C60-Sens_Headline_Canonical)&lt;=0.01,"OK","BREAK")</f>
        <v>OK</v>
      </c>
    </row>
    <row r="69" spans="1:4" x14ac:dyDescent="0.3">
      <c r="A69" s="57" t="s">
        <v>1113</v>
      </c>
      <c r="B69" s="58" t="str">
        <f>IF(ABS(C61-Sens_Headline_Canonical)&lt;=0.01,"OK","BREAK")</f>
        <v>OK</v>
      </c>
    </row>
    <row r="70" spans="1:4" x14ac:dyDescent="0.3">
      <c r="A70" s="57" t="s">
        <v>1114</v>
      </c>
      <c r="B70" s="58" t="str">
        <f>IF(D58-C58&gt;0,"OK","BREAK")</f>
        <v>OK</v>
      </c>
    </row>
    <row r="71" spans="1:4" x14ac:dyDescent="0.3">
      <c r="A71" s="57" t="s">
        <v>1115</v>
      </c>
      <c r="B71" s="58" t="str">
        <f>IF(C58-B58&gt;0,"OK","BREAK")</f>
        <v>OK</v>
      </c>
    </row>
    <row r="72" spans="1:4" x14ac:dyDescent="0.3">
      <c r="A72" s="57" t="s">
        <v>1116</v>
      </c>
      <c r="B72" s="58" t="str">
        <f>IF(C59-D59&gt;0,"OK","BREAK")</f>
        <v>OK</v>
      </c>
    </row>
    <row r="73" spans="1:4" x14ac:dyDescent="0.3">
      <c r="A73" s="57" t="s">
        <v>1117</v>
      </c>
      <c r="B73" s="58" t="str">
        <f>IF(B59-C59&gt;0,"OK","BREAK")</f>
        <v>OK</v>
      </c>
    </row>
    <row r="74" spans="1:4" x14ac:dyDescent="0.3">
      <c r="A74" s="57" t="s">
        <v>1118</v>
      </c>
      <c r="B74" s="58" t="str">
        <f>IF(C60-D60&gt;0,"OK","BREAK")</f>
        <v>OK</v>
      </c>
    </row>
    <row r="75" spans="1:4" x14ac:dyDescent="0.3">
      <c r="A75" s="57" t="s">
        <v>1119</v>
      </c>
      <c r="B75" s="58" t="str">
        <f>IF(B60-C60&gt;0,"OK","BREAK")</f>
        <v>OK</v>
      </c>
    </row>
    <row r="76" spans="1:4" x14ac:dyDescent="0.3">
      <c r="A76" s="57" t="s">
        <v>1120</v>
      </c>
      <c r="B76" s="58" t="str">
        <f>IF(C61-D61&gt;0,"OK","BREAK")</f>
        <v>OK</v>
      </c>
    </row>
    <row r="77" spans="1:4" x14ac:dyDescent="0.3">
      <c r="A77" s="57" t="s">
        <v>1121</v>
      </c>
      <c r="B77" s="58" t="str">
        <f>IF(B61-C61&gt;0,"OK","BREAK")</f>
        <v>OK</v>
      </c>
    </row>
    <row r="79" spans="1:4" x14ac:dyDescent="0.3">
      <c r="A79" s="1" t="s">
        <v>1122</v>
      </c>
    </row>
  </sheetData>
  <sheetProtection sheet="1" formatCells="0" formatColumns="0" formatRows="0" insertRows="0" deleteRows="0" sort="0" autoFilter="0"/>
  <mergeCells count="3">
    <mergeCell ref="A1:G1"/>
    <mergeCell ref="A2:G2"/>
    <mergeCell ref="A3:G3"/>
  </mergeCells>
  <conditionalFormatting sqref="B25:B29">
    <cfRule type="expression" dxfId="39" priority="1">
      <formula>B25="OK"</formula>
    </cfRule>
    <cfRule type="expression" dxfId="38" priority="2">
      <formula>B25="BREAK"</formula>
    </cfRule>
  </conditionalFormatting>
  <conditionalFormatting sqref="B44:B54">
    <cfRule type="expression" dxfId="37" priority="15">
      <formula>B44="OK"</formula>
    </cfRule>
    <cfRule type="expression" dxfId="36" priority="16">
      <formula>B44="BREAK"</formula>
    </cfRule>
  </conditionalFormatting>
  <conditionalFormatting sqref="B66:B77">
    <cfRule type="expression" dxfId="35" priority="38">
      <formula>B66="BREAK"</formula>
    </cfRule>
    <cfRule type="expression" dxfId="34" priority="37">
      <formula>B66="OK"</formula>
    </cfRule>
  </conditionalFormatting>
  <conditionalFormatting sqref="B30:D31">
    <cfRule type="expression" dxfId="33" priority="11">
      <formula>B30="OK"</formula>
    </cfRule>
    <cfRule type="expression" dxfId="32" priority="12">
      <formula>B30="BREAK"</formula>
    </cfRule>
  </conditionalFormatting>
  <pageMargins left="0.7" right="0.7" top="0.75" bottom="0.75" header="0.3" footer="0.3"/>
  <pageSetup fitToHeight="0" orientation="landscape" useFirstPageNumber="1" horizontalDpi="4294967295" verticalDpi="4294967295"/>
  <headerFooter>
    <oddHeader>&amp;L&amp;"Calibri,Bold"16_Scenarios_Sens&amp;R&amp;P / &amp;N</oddHeader>
    <oddFooter>&amp;LInternal model — not investment advice&amp;RAs-of 2026-10-06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45309"/>
    <pageSetUpPr fitToPage="1"/>
  </sheetPr>
  <dimension ref="A1:G83"/>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92" customWidth="1"/>
    <col min="2" max="6" width="14" customWidth="1"/>
  </cols>
  <sheetData>
    <row r="1" spans="1:7" ht="21" x14ac:dyDescent="0.4">
      <c r="A1" s="91" t="s">
        <v>1123</v>
      </c>
      <c r="B1" s="91"/>
      <c r="C1" s="91"/>
      <c r="D1" s="91"/>
      <c r="E1" s="91"/>
      <c r="F1" s="91"/>
      <c r="G1" s="91"/>
    </row>
    <row r="2" spans="1:7" x14ac:dyDescent="0.3">
      <c r="A2" s="92" t="s">
        <v>1124</v>
      </c>
      <c r="B2" s="92"/>
      <c r="C2" s="92"/>
      <c r="D2" s="92"/>
      <c r="E2" s="92"/>
      <c r="F2" s="92"/>
      <c r="G2" s="92"/>
    </row>
    <row r="3" spans="1:7" x14ac:dyDescent="0.3">
      <c r="A3" s="92" t="s">
        <v>1125</v>
      </c>
      <c r="B3" s="92"/>
      <c r="C3" s="92"/>
      <c r="D3" s="92"/>
      <c r="E3" s="92"/>
      <c r="F3" s="92"/>
      <c r="G3" s="92"/>
    </row>
    <row r="5" spans="1:7" ht="18" customHeight="1" x14ac:dyDescent="0.3">
      <c r="A5" s="11" t="s">
        <v>1126</v>
      </c>
      <c r="B5" s="11" t="s">
        <v>1127</v>
      </c>
      <c r="C5" s="11" t="s">
        <v>1128</v>
      </c>
      <c r="D5" s="11" t="s">
        <v>1129</v>
      </c>
      <c r="E5" s="11" t="s">
        <v>1130</v>
      </c>
      <c r="F5" s="11" t="s">
        <v>1131</v>
      </c>
    </row>
    <row r="6" spans="1:7" x14ac:dyDescent="0.3">
      <c r="A6" s="48" t="s">
        <v>1132</v>
      </c>
      <c r="B6" s="76" t="str">
        <f>CHK_BS_Balance_B</f>
        <v>OK</v>
      </c>
      <c r="C6" s="76" t="str">
        <f>CHK_BS_Balance_C</f>
        <v>OK</v>
      </c>
      <c r="D6" s="76" t="str">
        <f>CHK_BS_Balance_D</f>
        <v>OK</v>
      </c>
      <c r="E6" s="76" t="str">
        <f>CHK_BS_Balance_E</f>
        <v>OK</v>
      </c>
      <c r="F6" s="76" t="str">
        <f>CHK_BS_Balance_F</f>
        <v>OK</v>
      </c>
    </row>
    <row r="7" spans="1:7" x14ac:dyDescent="0.3">
      <c r="A7" s="48" t="s">
        <v>1133</v>
      </c>
      <c r="B7" s="76" t="str">
        <f>CHK_BS_BalanceTie_B</f>
        <v>OK</v>
      </c>
      <c r="C7" s="76" t="str">
        <f>CHK_BS_BalanceTie_C</f>
        <v>OK</v>
      </c>
      <c r="D7" s="76" t="str">
        <f>CHK_BS_BalanceTie_D</f>
        <v>OK</v>
      </c>
      <c r="E7" s="76" t="str">
        <f>CHK_BS_BalanceTie_E</f>
        <v>OK</v>
      </c>
      <c r="F7" s="76" t="str">
        <f>CHK_BS_BalanceTie_F</f>
        <v>OK</v>
      </c>
    </row>
    <row r="8" spans="1:7" ht="18" customHeight="1" x14ac:dyDescent="0.3">
      <c r="A8" s="11" t="s">
        <v>1134</v>
      </c>
      <c r="B8" s="11" t="s">
        <v>1127</v>
      </c>
      <c r="C8" s="11" t="s">
        <v>1128</v>
      </c>
      <c r="D8" s="11" t="s">
        <v>1129</v>
      </c>
      <c r="E8" s="11" t="s">
        <v>1130</v>
      </c>
      <c r="F8" s="11" t="s">
        <v>1131</v>
      </c>
    </row>
    <row r="9" spans="1:7" x14ac:dyDescent="0.3">
      <c r="A9" s="48" t="s">
        <v>1135</v>
      </c>
      <c r="B9" s="76" t="str">
        <f>CHK_CF_Foot_B</f>
        <v>OK</v>
      </c>
      <c r="C9" s="76" t="str">
        <f>CHK_CF_Foot_C</f>
        <v>OK</v>
      </c>
      <c r="D9" s="76" t="str">
        <f>CHK_CF_Foot_D</f>
        <v>OK</v>
      </c>
      <c r="E9" s="76" t="str">
        <f>CHK_CF_Foot_E</f>
        <v>OK</v>
      </c>
      <c r="F9" s="76" t="str">
        <f>CHK_CF_Foot_F</f>
        <v>OK</v>
      </c>
    </row>
    <row r="10" spans="1:7" x14ac:dyDescent="0.3">
      <c r="A10" s="48" t="s">
        <v>1136</v>
      </c>
      <c r="B10" s="76" t="str">
        <f>CHK_CF_H2Foot_B</f>
        <v>OK</v>
      </c>
      <c r="C10" t="s">
        <v>428</v>
      </c>
      <c r="D10" t="s">
        <v>428</v>
      </c>
      <c r="E10" t="s">
        <v>428</v>
      </c>
      <c r="F10" t="s">
        <v>428</v>
      </c>
    </row>
    <row r="11" spans="1:7" x14ac:dyDescent="0.3">
      <c r="A11" s="48" t="s">
        <v>1137</v>
      </c>
      <c r="B11" s="76" t="str">
        <f>CHK_CF_Chain_B</f>
        <v>OK</v>
      </c>
      <c r="C11" s="76" t="str">
        <f>CHK_CF_Chain_C</f>
        <v>OK</v>
      </c>
      <c r="D11" s="76" t="str">
        <f>CHK_CF_Chain_D</f>
        <v>OK</v>
      </c>
      <c r="E11" s="76" t="str">
        <f>CHK_CF_Chain_E</f>
        <v>OK</v>
      </c>
      <c r="F11" t="s">
        <v>428</v>
      </c>
    </row>
    <row r="12" spans="1:7" x14ac:dyDescent="0.3">
      <c r="A12" s="48" t="s">
        <v>1138</v>
      </c>
      <c r="B12" s="76" t="str">
        <f>CHK_BS_CashRoll_B</f>
        <v>OK</v>
      </c>
      <c r="C12" s="76" t="str">
        <f>CHK_BS_CashRoll_C</f>
        <v>OK</v>
      </c>
      <c r="D12" s="76" t="str">
        <f>CHK_BS_CashRoll_D</f>
        <v>OK</v>
      </c>
      <c r="E12" s="76" t="str">
        <f>CHK_BS_CashRoll_E</f>
        <v>OK</v>
      </c>
      <c r="F12" s="76" t="str">
        <f>CHK_BS_CashRoll_F</f>
        <v>OK</v>
      </c>
    </row>
    <row r="13" spans="1:7" ht="18" customHeight="1" x14ac:dyDescent="0.3">
      <c r="A13" s="11" t="s">
        <v>1139</v>
      </c>
      <c r="B13" s="11" t="s">
        <v>1127</v>
      </c>
      <c r="C13" s="11" t="s">
        <v>1128</v>
      </c>
      <c r="D13" s="11" t="s">
        <v>1129</v>
      </c>
      <c r="E13" s="11" t="s">
        <v>1130</v>
      </c>
      <c r="F13" s="11" t="s">
        <v>1131</v>
      </c>
    </row>
    <row r="14" spans="1:7" x14ac:dyDescent="0.3">
      <c r="A14" s="48" t="s">
        <v>1140</v>
      </c>
      <c r="B14" s="76" t="str">
        <f>CHK_DR_Foot_B</f>
        <v>OK</v>
      </c>
      <c r="C14" s="76" t="str">
        <f>CHK_DR_Foot_C</f>
        <v>OK</v>
      </c>
      <c r="D14" s="76" t="str">
        <f>CHK_DR_Foot_D</f>
        <v>OK</v>
      </c>
      <c r="E14" s="76" t="str">
        <f>CHK_DR_Foot_E</f>
        <v>OK</v>
      </c>
      <c r="F14" s="76" t="str">
        <f>CHK_DR_Foot_F</f>
        <v>OK</v>
      </c>
    </row>
    <row r="15" spans="1:7" ht="41.4" x14ac:dyDescent="0.3">
      <c r="A15" s="77" t="s">
        <v>1141</v>
      </c>
    </row>
    <row r="16" spans="1:7" ht="18" customHeight="1" x14ac:dyDescent="0.3">
      <c r="A16" s="11" t="s">
        <v>1142</v>
      </c>
      <c r="B16" s="11" t="s">
        <v>1127</v>
      </c>
      <c r="C16" s="11" t="s">
        <v>1128</v>
      </c>
      <c r="D16" s="11" t="s">
        <v>1129</v>
      </c>
      <c r="E16" s="11" t="s">
        <v>1130</v>
      </c>
      <c r="F16" s="11" t="s">
        <v>1131</v>
      </c>
    </row>
    <row r="17" spans="1:6" x14ac:dyDescent="0.3">
      <c r="A17" s="48" t="s">
        <v>1143</v>
      </c>
      <c r="B17" s="76" t="str">
        <f>IF(ABS(CHK_Shares_FD-CHK_Shares_FD_Eng)&lt;=1,"OK","BREAK")</f>
        <v>OK</v>
      </c>
    </row>
    <row r="18" spans="1:6" x14ac:dyDescent="0.3">
      <c r="A18" s="48" t="s">
        <v>1144</v>
      </c>
      <c r="B18" s="76" t="str">
        <f>IF(DCF_PerShareSpot&gt;DCF_PerShareCanonical,IF(DCF_PerShareCanonical&lt;=DCF_PerShareFinite,"OK","BREAK"),"BREAK")</f>
        <v>OK</v>
      </c>
    </row>
    <row r="19" spans="1:6" ht="55.2" x14ac:dyDescent="0.3">
      <c r="A19" s="77" t="s">
        <v>1145</v>
      </c>
    </row>
    <row r="20" spans="1:6" x14ac:dyDescent="0.3">
      <c r="A20" s="48" t="s">
        <v>1146</v>
      </c>
      <c r="B20" s="76" t="str">
        <f>CHK_DCF_PsCanon</f>
        <v>OK</v>
      </c>
    </row>
    <row r="21" spans="1:6" x14ac:dyDescent="0.3">
      <c r="A21" s="48" t="s">
        <v>1147</v>
      </c>
      <c r="B21" s="76" t="str">
        <f>CHK_DCF_PsFinite</f>
        <v>OK</v>
      </c>
    </row>
    <row r="22" spans="1:6" x14ac:dyDescent="0.3">
      <c r="A22" s="48" t="s">
        <v>1148</v>
      </c>
      <c r="B22" s="76" t="str">
        <f>CHK_DCF_PsSpot</f>
        <v>OK</v>
      </c>
    </row>
    <row r="23" spans="1:6" x14ac:dyDescent="0.3">
      <c r="A23" s="48" t="s">
        <v>1149</v>
      </c>
      <c r="B23" s="76" t="str">
        <f>CHK_DCF_Dilution</f>
        <v>OK</v>
      </c>
    </row>
    <row r="24" spans="1:6" x14ac:dyDescent="0.3">
      <c r="A24" s="48" t="s">
        <v>1150</v>
      </c>
      <c r="B24" s="76" t="str">
        <f>CHK_DCF_SpotDenominator</f>
        <v>OK</v>
      </c>
    </row>
    <row r="25" spans="1:6" x14ac:dyDescent="0.3">
      <c r="A25" s="48" t="s">
        <v>1151</v>
      </c>
      <c r="B25" s="76" t="str">
        <f>CHK_DCF_Divisor</f>
        <v>OK</v>
      </c>
    </row>
    <row r="26" spans="1:6" x14ac:dyDescent="0.3">
      <c r="A26" s="48" t="s">
        <v>1152</v>
      </c>
      <c r="B26" s="76" t="str">
        <f>CHK_DCF_Shares</f>
        <v>OK</v>
      </c>
    </row>
    <row r="27" spans="1:6" x14ac:dyDescent="0.3">
      <c r="A27" s="48" t="s">
        <v>1153</v>
      </c>
      <c r="B27" s="76" t="str">
        <f>IF(ABS(CHK_H5_Divisor-CHK_H5_Divisor_Eng)&lt;=1,"OK","BREAK")</f>
        <v>OK</v>
      </c>
    </row>
    <row r="28" spans="1:6" ht="69" x14ac:dyDescent="0.3">
      <c r="A28" s="77" t="s">
        <v>1154</v>
      </c>
    </row>
    <row r="29" spans="1:6" ht="18" customHeight="1" x14ac:dyDescent="0.3">
      <c r="A29" s="11" t="s">
        <v>1155</v>
      </c>
      <c r="B29" s="11" t="s">
        <v>1127</v>
      </c>
      <c r="C29" s="11" t="s">
        <v>1128</v>
      </c>
      <c r="D29" s="11" t="s">
        <v>1129</v>
      </c>
      <c r="E29" s="11" t="s">
        <v>1130</v>
      </c>
      <c r="F29" s="11" t="s">
        <v>1131</v>
      </c>
    </row>
    <row r="30" spans="1:6" x14ac:dyDescent="0.3">
      <c r="A30" s="48" t="s">
        <v>1156</v>
      </c>
      <c r="B30" s="76" t="str">
        <f>CHK_DCF_SeamDays</f>
        <v>OK</v>
      </c>
    </row>
    <row r="31" spans="1:6" x14ac:dyDescent="0.3">
      <c r="A31" s="48" t="s">
        <v>1157</v>
      </c>
      <c r="B31" s="76" t="str">
        <f>CHK_DCF_StageAdjacent</f>
        <v>OK</v>
      </c>
    </row>
    <row r="32" spans="1:6" x14ac:dyDescent="0.3">
      <c r="A32" s="48" t="s">
        <v>1158</v>
      </c>
      <c r="B32" s="76" t="str">
        <f>CHK_DCF_WaccKe</f>
        <v>OK</v>
      </c>
    </row>
    <row r="33" spans="1:2" x14ac:dyDescent="0.3">
      <c r="A33" s="48" t="s">
        <v>1159</v>
      </c>
      <c r="B33" s="76" t="str">
        <f>CHK_DCF_WaccG</f>
        <v>OK</v>
      </c>
    </row>
    <row r="34" spans="1:2" x14ac:dyDescent="0.3">
      <c r="A34" s="48" t="s">
        <v>1160</v>
      </c>
      <c r="B34" s="76" t="str">
        <f>CHK_DCF_WaccLive</f>
        <v>OK</v>
      </c>
    </row>
    <row r="35" spans="1:2" x14ac:dyDescent="0.3">
      <c r="A35" s="48" t="s">
        <v>1161</v>
      </c>
      <c r="B35" s="76" t="str">
        <f>CHK_DCF_GLive</f>
        <v>OK</v>
      </c>
    </row>
    <row r="36" spans="1:2" x14ac:dyDescent="0.3">
      <c r="A36" s="48" t="s">
        <v>1162</v>
      </c>
      <c r="B36" s="76" t="str">
        <f>CHK_DCF_DiscountFactor</f>
        <v>OK</v>
      </c>
    </row>
    <row r="37" spans="1:2" x14ac:dyDescent="0.3">
      <c r="A37" s="48" t="s">
        <v>1163</v>
      </c>
      <c r="B37" s="76" t="str">
        <f>CHK_DCF_Seam</f>
        <v>OK</v>
      </c>
    </row>
    <row r="38" spans="1:2" x14ac:dyDescent="0.3">
      <c r="A38" s="48" t="s">
        <v>1164</v>
      </c>
      <c r="B38" s="76" t="str">
        <f>CHK_DCF_PvFoot</f>
        <v>OK</v>
      </c>
    </row>
    <row r="39" spans="1:2" x14ac:dyDescent="0.3">
      <c r="A39" s="48" t="s">
        <v>1165</v>
      </c>
      <c r="B39" s="76" t="str">
        <f>CHK_DCF_StageSum</f>
        <v>OK</v>
      </c>
    </row>
    <row r="40" spans="1:2" x14ac:dyDescent="0.3">
      <c r="A40" s="48" t="s">
        <v>1166</v>
      </c>
      <c r="B40" s="76" t="str">
        <f>CHK_DCF_EquityFoot</f>
        <v>OK</v>
      </c>
    </row>
    <row r="41" spans="1:2" x14ac:dyDescent="0.3">
      <c r="A41" s="48" t="s">
        <v>1167</v>
      </c>
      <c r="B41" s="76" t="str">
        <f>CHK_DCF_NetCashBasis</f>
        <v>OK</v>
      </c>
    </row>
    <row r="42" spans="1:2" x14ac:dyDescent="0.3">
      <c r="A42" s="48" t="s">
        <v>1168</v>
      </c>
      <c r="B42" s="76" t="str">
        <f>CHK_DCF_Ev</f>
        <v>OK</v>
      </c>
    </row>
    <row r="43" spans="1:2" x14ac:dyDescent="0.3">
      <c r="A43" s="48" t="s">
        <v>1169</v>
      </c>
      <c r="B43" s="76" t="str">
        <f>CHK_DCF_RolledCash</f>
        <v>OK</v>
      </c>
    </row>
    <row r="44" spans="1:2" x14ac:dyDescent="0.3">
      <c r="A44" s="48" t="s">
        <v>1170</v>
      </c>
      <c r="B44" s="76" t="str">
        <f>CHK_DCF_NetCash</f>
        <v>OK</v>
      </c>
    </row>
    <row r="45" spans="1:2" x14ac:dyDescent="0.3">
      <c r="A45" s="48" t="s">
        <v>1171</v>
      </c>
      <c r="B45" s="76" t="str">
        <f>CHK_DCF_Equity</f>
        <v>OK</v>
      </c>
    </row>
    <row r="46" spans="1:2" x14ac:dyDescent="0.3">
      <c r="A46" s="48" t="s">
        <v>1172</v>
      </c>
      <c r="B46" s="76" t="str">
        <f>CHK_DCF_SpotGtCanonical</f>
        <v>OK</v>
      </c>
    </row>
    <row r="47" spans="1:2" x14ac:dyDescent="0.3">
      <c r="A47" s="48" t="s">
        <v>1173</v>
      </c>
      <c r="B47" s="76" t="str">
        <f>CHK_DCF_CanonicalLeFinite</f>
        <v>OK</v>
      </c>
    </row>
    <row r="48" spans="1:2" x14ac:dyDescent="0.3">
      <c r="A48" s="48" t="s">
        <v>1174</v>
      </c>
      <c r="B48" s="76" t="str">
        <f>CHK_DCF_FcffFull</f>
        <v>OK</v>
      </c>
    </row>
    <row r="49" spans="1:7" x14ac:dyDescent="0.3">
      <c r="A49" s="48" t="s">
        <v>1175</v>
      </c>
      <c r="B49" s="76" t="str">
        <f>CHK_DCF_Dperm</f>
        <v>OK</v>
      </c>
    </row>
    <row r="50" spans="1:7" x14ac:dyDescent="0.3">
      <c r="A50" s="48" t="s">
        <v>1176</v>
      </c>
      <c r="B50" s="76" t="str">
        <f>CHK_IS_InterestSolve</f>
        <v>OK</v>
      </c>
    </row>
    <row r="51" spans="1:7" x14ac:dyDescent="0.3">
      <c r="A51" s="48" t="s">
        <v>1177</v>
      </c>
      <c r="B51" s="76" t="str">
        <f>CHK_IS_Seam</f>
        <v>OK</v>
      </c>
    </row>
    <row r="52" spans="1:7" x14ac:dyDescent="0.3">
      <c r="A52" s="48" t="s">
        <v>1178</v>
      </c>
      <c r="B52" s="76" t="str">
        <f>CHK_DCF_FcffLive_B</f>
        <v>OK</v>
      </c>
      <c r="C52" s="76" t="str">
        <f>CHK_DCF_FcffLive_C</f>
        <v>OK</v>
      </c>
      <c r="D52" s="76" t="str">
        <f>CHK_DCF_FcffLive_D</f>
        <v>OK</v>
      </c>
      <c r="E52" s="76" t="str">
        <f>CHK_DCF_FcffLive_E</f>
        <v>OK</v>
      </c>
      <c r="F52" s="76" t="str">
        <f>CHK_DCF_FcffLive_F</f>
        <v>OK</v>
      </c>
      <c r="G52" s="76" t="str">
        <f>CHK_DCF_FcffLive_G</f>
        <v>OK</v>
      </c>
    </row>
    <row r="53" spans="1:7" x14ac:dyDescent="0.3">
      <c r="A53" s="48" t="s">
        <v>1179</v>
      </c>
      <c r="B53" s="76" t="str">
        <f>CHK_DCF_PvLive_B</f>
        <v>OK</v>
      </c>
      <c r="C53" s="76" t="str">
        <f>CHK_DCF_PvLive_C</f>
        <v>OK</v>
      </c>
      <c r="D53" s="76" t="str">
        <f>CHK_DCF_PvLive_D</f>
        <v>OK</v>
      </c>
      <c r="E53" s="76" t="str">
        <f>CHK_DCF_PvLive_E</f>
        <v>OK</v>
      </c>
      <c r="F53" s="76" t="str">
        <f>CHK_DCF_PvLive_F</f>
        <v>OK</v>
      </c>
      <c r="G53" s="76" t="str">
        <f>CHK_DCF_PvLive_G</f>
        <v>OK</v>
      </c>
    </row>
    <row r="54" spans="1:7" ht="18" customHeight="1" x14ac:dyDescent="0.3">
      <c r="A54" s="11" t="s">
        <v>1180</v>
      </c>
      <c r="B54" s="11" t="s">
        <v>1127</v>
      </c>
      <c r="C54" s="11" t="s">
        <v>1128</v>
      </c>
      <c r="D54" s="11" t="s">
        <v>1129</v>
      </c>
      <c r="E54" s="11" t="s">
        <v>1130</v>
      </c>
      <c r="F54" s="11" t="s">
        <v>1131</v>
      </c>
    </row>
    <row r="55" spans="1:7" x14ac:dyDescent="0.3">
      <c r="A55" s="48" t="s">
        <v>1181</v>
      </c>
      <c r="B55" s="76" t="str">
        <f>CHK_H_BSBalance_B</f>
        <v>OK</v>
      </c>
      <c r="C55" s="76" t="str">
        <f>CHK_H_BSBalance_C</f>
        <v>OK</v>
      </c>
      <c r="D55" s="76" t="str">
        <f>CHK_H_BSBalance_D</f>
        <v>OK</v>
      </c>
      <c r="E55" s="76" t="str">
        <f>CHK_H_BSBalance_E</f>
        <v>OK</v>
      </c>
      <c r="F55" s="76" t="str">
        <f>CHK_H_BSBalance_F</f>
        <v>OK</v>
      </c>
    </row>
    <row r="56" spans="1:7" x14ac:dyDescent="0.3">
      <c r="A56" s="48" t="s">
        <v>1182</v>
      </c>
      <c r="B56" s="76" t="str">
        <f>CHK_H_CashRoll_B</f>
        <v>OK</v>
      </c>
      <c r="C56" s="76" t="str">
        <f>CHK_H_CashRoll_C</f>
        <v>OK</v>
      </c>
      <c r="D56" s="76" t="str">
        <f>CHK_H_CashRoll_D</f>
        <v>OK</v>
      </c>
      <c r="E56" s="76" t="str">
        <f>CHK_H_CashRoll_E</f>
        <v>OK</v>
      </c>
      <c r="F56" s="76" t="str">
        <f>CHK_H_CashRoll_F</f>
        <v>OK</v>
      </c>
    </row>
    <row r="57" spans="1:7" ht="41.4" x14ac:dyDescent="0.3">
      <c r="A57" s="77" t="s">
        <v>1183</v>
      </c>
    </row>
    <row r="58" spans="1:7" ht="18" customHeight="1" x14ac:dyDescent="0.3">
      <c r="A58" s="11" t="s">
        <v>1184</v>
      </c>
      <c r="B58" s="11" t="s">
        <v>140</v>
      </c>
      <c r="C58" s="11" t="s">
        <v>189</v>
      </c>
      <c r="D58" s="11" t="s">
        <v>191</v>
      </c>
      <c r="E58" s="11" t="s">
        <v>195</v>
      </c>
      <c r="F58" s="11" t="s">
        <v>197</v>
      </c>
      <c r="G58" s="11" t="s">
        <v>211</v>
      </c>
    </row>
    <row r="59" spans="1:7" x14ac:dyDescent="0.3">
      <c r="A59" s="34" t="s">
        <v>1185</v>
      </c>
      <c r="B59" s="78">
        <v>7.4999999999999997E-2</v>
      </c>
    </row>
    <row r="60" spans="1:7" ht="41.4" x14ac:dyDescent="0.3">
      <c r="A60" s="77" t="s">
        <v>1186</v>
      </c>
    </row>
    <row r="61" spans="1:7" x14ac:dyDescent="0.3">
      <c r="A61" s="48" t="s">
        <v>1187</v>
      </c>
      <c r="B61" s="76" t="str">
        <f>IF(ABS(EBIT_Residual_B/HST_Revenue_B)&lt;=Bound_C2_PCT,"OK","BREAK")</f>
        <v>OK</v>
      </c>
      <c r="C61" s="76" t="str">
        <f>IF(ABS(EBIT_Residual_C/HST_Revenue_C)&lt;=Bound_C2_PCT,"OK","BREAK")</f>
        <v>OK</v>
      </c>
      <c r="D61" s="76" t="str">
        <f>IF(ABS(EBIT_Residual_D/HST_Revenue_D)&lt;=Bound_C2_PCT,"OK","BREAK")</f>
        <v>OK</v>
      </c>
      <c r="E61" s="76" t="str">
        <f>IF(ABS(EBIT_Residual_E/HST_Revenue_E)&lt;=Bound_C2_PCT,"OK","BREAK")</f>
        <v>OK</v>
      </c>
      <c r="F61" s="76" t="str">
        <f>IF(ABS(EBIT_Residual_F/HST_Revenue_F)&lt;=Bound_C2_PCT,"OK","BREAK")</f>
        <v>OK</v>
      </c>
      <c r="G61" s="76" t="str">
        <f>IF(ABS(EBIT_Residual_G/HST_Revenue_G)&lt;=Bound_C2_PCT,"OK","BREAK")</f>
        <v>OK</v>
      </c>
    </row>
    <row r="62" spans="1:7" x14ac:dyDescent="0.3">
      <c r="A62" s="33" t="s">
        <v>1188</v>
      </c>
      <c r="B62" s="79">
        <f>ABS(EBIT_Residual_B)/HST_Revenue_B</f>
        <v>6.1334598759032112E-2</v>
      </c>
      <c r="C62" s="79">
        <f>ABS(EBIT_Residual_C)/HST_Revenue_C</f>
        <v>7.1394741471467816E-3</v>
      </c>
      <c r="D62" s="79">
        <f>ABS(EBIT_Residual_D)/HST_Revenue_D</f>
        <v>8.8042190962683738E-3</v>
      </c>
      <c r="E62" s="79">
        <f>ABS(EBIT_Residual_E)/HST_Revenue_E</f>
        <v>1.4708084232591468E-2</v>
      </c>
      <c r="F62" s="79">
        <f>ABS(EBIT_Residual_F)/HST_Revenue_F</f>
        <v>1.6259810001840805E-2</v>
      </c>
      <c r="G62" s="79">
        <f>ABS(EBIT_Residual_G)/HST_Revenue_G</f>
        <v>2.0534740652506024E-2</v>
      </c>
    </row>
    <row r="63" spans="1:7" x14ac:dyDescent="0.3">
      <c r="A63" s="33" t="s">
        <v>1189</v>
      </c>
      <c r="B63" s="80">
        <f>ABS(EBIT_Residual_B)/ABS(EBIT_Cited_B)</f>
        <v>14.428705440900563</v>
      </c>
      <c r="C63" s="80">
        <f>ABS(EBIT_Residual_C)/ABS(EBIT_Cited_C)</f>
        <v>0.17066701170990489</v>
      </c>
      <c r="D63" s="80">
        <f>ABS(EBIT_Residual_D)/ABS(EBIT_Cited_D)</f>
        <v>4.991566856679263E-2</v>
      </c>
      <c r="E63" s="80">
        <f>ABS(EBIT_Residual_E)/ABS(EBIT_Cited_E)</f>
        <v>5.7319398568317512E-2</v>
      </c>
      <c r="F63" s="80">
        <f>ABS(EBIT_Residual_F)/ABS(EBIT_Cited_F)</f>
        <v>5.5155977219675821E-2</v>
      </c>
      <c r="G63" s="80">
        <f>ABS(EBIT_Residual_G)/ABS(EBIT_Cited_G)</f>
        <v>6.9958922042161337E-2</v>
      </c>
    </row>
    <row r="64" spans="1:7" ht="69" x14ac:dyDescent="0.3">
      <c r="A64" s="77" t="s">
        <v>1190</v>
      </c>
    </row>
    <row r="65" spans="1:7" x14ac:dyDescent="0.3">
      <c r="A65" s="48" t="s">
        <v>1191</v>
      </c>
      <c r="B65" s="76" t="str">
        <f>CHK_EBIT_Bridge_B</f>
        <v>OK</v>
      </c>
      <c r="C65" s="76" t="str">
        <f>CHK_EBIT_Bridge_C</f>
        <v>OK</v>
      </c>
      <c r="D65" s="76" t="str">
        <f>CHK_EBIT_Bridge_D</f>
        <v>OK</v>
      </c>
      <c r="E65" s="76" t="str">
        <f>CHK_EBIT_Bridge_E</f>
        <v>OK</v>
      </c>
      <c r="F65" s="76" t="str">
        <f>CHK_EBIT_Bridge_F</f>
        <v>OK</v>
      </c>
      <c r="G65" s="76" t="str">
        <f>CHK_EBIT_Bridge_G</f>
        <v>OK</v>
      </c>
    </row>
    <row r="66" spans="1:7" ht="18" customHeight="1" x14ac:dyDescent="0.3">
      <c r="A66" s="11" t="s">
        <v>1192</v>
      </c>
      <c r="B66" s="11" t="s">
        <v>1127</v>
      </c>
      <c r="C66" s="11" t="s">
        <v>1128</v>
      </c>
      <c r="D66" s="11" t="s">
        <v>1129</v>
      </c>
      <c r="E66" s="11" t="s">
        <v>1130</v>
      </c>
      <c r="F66" s="11" t="s">
        <v>1131</v>
      </c>
    </row>
    <row r="67" spans="1:7" x14ac:dyDescent="0.3">
      <c r="A67" s="48" t="s">
        <v>1193</v>
      </c>
      <c r="B67" s="76" t="str">
        <f>IF(ABS(NWC_Production_FY2026-NWC_SupersededBasis_FY2026)&lt;=Tolerance_USD,"OK","BREAK")</f>
        <v>OK</v>
      </c>
    </row>
    <row r="68" spans="1:7" x14ac:dyDescent="0.3">
      <c r="A68" s="33" t="s">
        <v>1194</v>
      </c>
      <c r="B68" s="81">
        <f>ABS(NWC_Production_FY2026-NWC_SupersededBasis_FY2026)</f>
        <v>85.258408633235376</v>
      </c>
    </row>
    <row r="69" spans="1:7" ht="55.2" x14ac:dyDescent="0.3">
      <c r="A69" s="77" t="s">
        <v>1195</v>
      </c>
    </row>
    <row r="70" spans="1:7" x14ac:dyDescent="0.3">
      <c r="A70" s="48" t="s">
        <v>1196</v>
      </c>
      <c r="B70" s="76" t="str">
        <f>IF(ABS(DCF_EV+DCF_NetCash-CHK_DCF_EquityEng)&lt;=Tolerance_USD,"OK","BREAK")</f>
        <v>OK</v>
      </c>
    </row>
    <row r="71" spans="1:7" ht="55.2" x14ac:dyDescent="0.3">
      <c r="A71" s="77" t="s">
        <v>1197</v>
      </c>
    </row>
    <row r="72" spans="1:7" x14ac:dyDescent="0.3">
      <c r="A72" s="48" t="s">
        <v>1198</v>
      </c>
      <c r="B72" s="76" t="str">
        <f>IF(ABS(CHK_DCF_Stage1PV+CHK_DCF_Stage2PV-(CHK_DCF_PvEng_B+CHK_DCF_PvEng_C+CHK_DCF_PvEng_D+CHK_DCF_PvEng_E+CHK_DCF_PvEng_F+CHK_DCF_PvEng_G+CHK_DCF_PvEng_H+CHK_DCF_PvEng_I+CHK_DCF_PvEng_J+CHK_DCF_PvEng_K))&lt;=Tolerance_USD,"OK","BREAK")</f>
        <v>OK</v>
      </c>
    </row>
    <row r="73" spans="1:7" x14ac:dyDescent="0.3">
      <c r="A73" s="48" t="s">
        <v>1199</v>
      </c>
      <c r="B73" s="76" t="str">
        <f>IF(ABS(DCF_PvExplicit+DCF_PvTerminal-CHK_DCF_EVEng)&lt;=Tolerance_USD,"OK","BREAK")</f>
        <v>OK</v>
      </c>
    </row>
    <row r="74" spans="1:7" ht="55.2" x14ac:dyDescent="0.3">
      <c r="A74" s="77" t="s">
        <v>1200</v>
      </c>
    </row>
    <row r="75" spans="1:7" ht="18" customHeight="1" x14ac:dyDescent="0.3">
      <c r="A75" s="11" t="s">
        <v>1201</v>
      </c>
      <c r="B75" s="11" t="s">
        <v>1127</v>
      </c>
      <c r="C75" s="11" t="s">
        <v>1128</v>
      </c>
      <c r="D75" s="11" t="s">
        <v>1129</v>
      </c>
      <c r="E75" s="11" t="s">
        <v>1130</v>
      </c>
      <c r="F75" s="11" t="s">
        <v>1131</v>
      </c>
    </row>
    <row r="76" spans="1:7" x14ac:dyDescent="0.3">
      <c r="A76" s="48" t="s">
        <v>1202</v>
      </c>
      <c r="B76" s="76" t="s">
        <v>1203</v>
      </c>
    </row>
    <row r="77" spans="1:7" x14ac:dyDescent="0.3">
      <c r="A77" s="48" t="s">
        <v>1204</v>
      </c>
      <c r="B77" s="76" t="s">
        <v>1203</v>
      </c>
    </row>
    <row r="78" spans="1:7" x14ac:dyDescent="0.3">
      <c r="A78" s="48" t="s">
        <v>1205</v>
      </c>
      <c r="B78" s="76" t="s">
        <v>1203</v>
      </c>
    </row>
    <row r="79" spans="1:7" x14ac:dyDescent="0.3">
      <c r="A79" s="48" t="s">
        <v>1206</v>
      </c>
      <c r="B79" s="76" t="s">
        <v>1203</v>
      </c>
    </row>
    <row r="80" spans="1:7" x14ac:dyDescent="0.3">
      <c r="A80" s="48" t="s">
        <v>1207</v>
      </c>
      <c r="B80" s="76" t="s">
        <v>1203</v>
      </c>
    </row>
    <row r="81" spans="1:2" x14ac:dyDescent="0.3">
      <c r="A81" s="48" t="s">
        <v>1208</v>
      </c>
      <c r="B81" s="76" t="s">
        <v>1203</v>
      </c>
    </row>
    <row r="82" spans="1:2" x14ac:dyDescent="0.3">
      <c r="A82" s="48" t="s">
        <v>1209</v>
      </c>
      <c r="B82" s="76" t="s">
        <v>1203</v>
      </c>
    </row>
    <row r="83" spans="1:2" ht="55.2" x14ac:dyDescent="0.3">
      <c r="A83" s="77" t="s">
        <v>1210</v>
      </c>
    </row>
  </sheetData>
  <sheetProtection sheet="1" formatCells="0" formatColumns="0" formatRows="0" insertRows="0" deleteRows="0" sort="0" autoFilter="0"/>
  <mergeCells count="3">
    <mergeCell ref="A1:G1"/>
    <mergeCell ref="A2:G2"/>
    <mergeCell ref="A3:G3"/>
  </mergeCells>
  <conditionalFormatting sqref="B17:B18">
    <cfRule type="expression" dxfId="31" priority="15">
      <formula>B17="OK"</formula>
    </cfRule>
    <cfRule type="expression" dxfId="30" priority="16">
      <formula>B17="BREAK"</formula>
    </cfRule>
  </conditionalFormatting>
  <conditionalFormatting sqref="B20:B27">
    <cfRule type="expression" dxfId="29" priority="19">
      <formula>B20="OK"</formula>
    </cfRule>
    <cfRule type="expression" dxfId="28" priority="20">
      <formula>B20="BREAK"</formula>
    </cfRule>
  </conditionalFormatting>
  <conditionalFormatting sqref="B30:B51">
    <cfRule type="expression" dxfId="27" priority="35">
      <formula>B30="OK"</formula>
    </cfRule>
    <cfRule type="expression" dxfId="26" priority="36">
      <formula>B30="BREAK"</formula>
    </cfRule>
  </conditionalFormatting>
  <conditionalFormatting sqref="B67">
    <cfRule type="expression" dxfId="25" priority="91">
      <formula>B67="OK"</formula>
    </cfRule>
    <cfRule type="expression" dxfId="24" priority="92">
      <formula>B67="BREAK"</formula>
    </cfRule>
  </conditionalFormatting>
  <conditionalFormatting sqref="B70">
    <cfRule type="expression" dxfId="23" priority="93">
      <formula>B70="OK"</formula>
    </cfRule>
    <cfRule type="expression" dxfId="22" priority="94">
      <formula>B70="BREAK"</formula>
    </cfRule>
  </conditionalFormatting>
  <conditionalFormatting sqref="B72:B73">
    <cfRule type="expression" dxfId="21" priority="95">
      <formula>B72="OK"</formula>
    </cfRule>
    <cfRule type="expression" dxfId="20" priority="96">
      <formula>B72="BREAK"</formula>
    </cfRule>
  </conditionalFormatting>
  <conditionalFormatting sqref="B76:B82">
    <cfRule type="expression" dxfId="19" priority="99">
      <formula>B76="OK"</formula>
    </cfRule>
    <cfRule type="expression" dxfId="18" priority="100">
      <formula>B76="BREAK"</formula>
    </cfRule>
  </conditionalFormatting>
  <conditionalFormatting sqref="B11:E11">
    <cfRule type="expression" dxfId="17" priority="9">
      <formula>B11="OK"</formula>
    </cfRule>
    <cfRule type="expression" dxfId="16" priority="10">
      <formula>B11="BREAK"</formula>
    </cfRule>
  </conditionalFormatting>
  <conditionalFormatting sqref="B6:F7">
    <cfRule type="expression" dxfId="15" priority="2">
      <formula>B6="BREAK"</formula>
    </cfRule>
    <cfRule type="expression" dxfId="14" priority="1">
      <formula>B6="OK"</formula>
    </cfRule>
  </conditionalFormatting>
  <conditionalFormatting sqref="B9:F10">
    <cfRule type="expression" dxfId="13" priority="5">
      <formula>B9="OK"</formula>
    </cfRule>
    <cfRule type="expression" dxfId="12" priority="6">
      <formula>B9="BREAK"</formula>
    </cfRule>
  </conditionalFormatting>
  <conditionalFormatting sqref="B12:F12">
    <cfRule type="expression" dxfId="11" priority="11">
      <formula>B12="OK"</formula>
    </cfRule>
    <cfRule type="expression" dxfId="10" priority="12">
      <formula>B12="BREAK"</formula>
    </cfRule>
  </conditionalFormatting>
  <conditionalFormatting sqref="B14:F14">
    <cfRule type="expression" dxfId="9" priority="13">
      <formula>B14="OK"</formula>
    </cfRule>
    <cfRule type="expression" dxfId="8" priority="14">
      <formula>B14="BREAK"</formula>
    </cfRule>
  </conditionalFormatting>
  <conditionalFormatting sqref="B55:F56">
    <cfRule type="expression" dxfId="7" priority="83">
      <formula>B55="OK"</formula>
    </cfRule>
    <cfRule type="expression" dxfId="6" priority="84">
      <formula>B55="BREAK"</formula>
    </cfRule>
  </conditionalFormatting>
  <conditionalFormatting sqref="B52:G53">
    <cfRule type="expression" dxfId="5" priority="79">
      <formula>B52="OK"</formula>
    </cfRule>
    <cfRule type="expression" dxfId="4" priority="80">
      <formula>B52="BREAK"</formula>
    </cfRule>
  </conditionalFormatting>
  <conditionalFormatting sqref="B61:G61">
    <cfRule type="expression" dxfId="3" priority="87">
      <formula>B61="OK"</formula>
    </cfRule>
    <cfRule type="expression" dxfId="2" priority="88">
      <formula>B61="BREAK"</formula>
    </cfRule>
  </conditionalFormatting>
  <conditionalFormatting sqref="B65:G65">
    <cfRule type="expression" dxfId="1" priority="89">
      <formula>B65="OK"</formula>
    </cfRule>
    <cfRule type="expression" dxfId="0" priority="90">
      <formula>B65="BREAK"</formula>
    </cfRule>
  </conditionalFormatting>
  <pageMargins left="0.4" right="0.4" top="0.6" bottom="0.6" header="0.3" footer="0.3"/>
  <pageSetup fitToHeight="0" orientation="landscape" useFirstPageNumber="1" horizontalDpi="4294967295" verticalDpi="4294967295"/>
  <headerFooter>
    <oddHeader>&amp;L&amp;"Calibri,Bold"17_Checks&amp;R&amp;P / &amp;N</oddHeader>
    <oddFooter>&amp;LInternal model — not investment advice&amp;RAs-of 2026-10-06</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45309"/>
    <pageSetUpPr fitToPage="1"/>
  </sheetPr>
  <dimension ref="A1:F43"/>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66" customWidth="1"/>
    <col min="2" max="6" width="17" customWidth="1"/>
  </cols>
  <sheetData>
    <row r="1" spans="1:6" ht="21" x14ac:dyDescent="0.4">
      <c r="A1" s="91" t="s">
        <v>1211</v>
      </c>
      <c r="B1" s="91"/>
      <c r="C1" s="91"/>
      <c r="D1" s="91"/>
      <c r="E1" s="91"/>
      <c r="F1" s="91"/>
    </row>
    <row r="2" spans="1:6" x14ac:dyDescent="0.3">
      <c r="A2" s="92" t="s">
        <v>1212</v>
      </c>
      <c r="B2" s="92"/>
      <c r="C2" s="92"/>
      <c r="D2" s="92"/>
      <c r="E2" s="92"/>
      <c r="F2" s="92"/>
    </row>
    <row r="3" spans="1:6" x14ac:dyDescent="0.3">
      <c r="A3" s="92" t="s">
        <v>1213</v>
      </c>
      <c r="B3" s="92"/>
      <c r="C3" s="92"/>
      <c r="D3" s="92"/>
      <c r="E3" s="92"/>
      <c r="F3" s="92"/>
    </row>
    <row r="5" spans="1:6" ht="18" customHeight="1" x14ac:dyDescent="0.3">
      <c r="A5" s="11" t="s">
        <v>1214</v>
      </c>
      <c r="B5" s="11" t="s">
        <v>76</v>
      </c>
      <c r="C5" s="11" t="s">
        <v>596</v>
      </c>
      <c r="D5" s="11" t="s">
        <v>597</v>
      </c>
      <c r="E5" s="11" t="s">
        <v>598</v>
      </c>
      <c r="F5" s="11" t="s">
        <v>576</v>
      </c>
    </row>
    <row r="6" spans="1:6" x14ac:dyDescent="0.3">
      <c r="A6" s="34" t="s">
        <v>733</v>
      </c>
      <c r="B6" s="82">
        <f>IS_Revenue_FY2026</f>
        <v>1193853.5172095529</v>
      </c>
      <c r="C6" s="82">
        <f>IS_Revenue_FY2027</f>
        <v>1377535.0995977772</v>
      </c>
      <c r="D6" s="82">
        <f>IS_Revenue_FY2028</f>
        <v>1602770.4138352654</v>
      </c>
      <c r="E6" s="82">
        <f>IS_Revenue_FY2029</f>
        <v>1870583.1094839473</v>
      </c>
      <c r="F6" s="82">
        <f>IS_Revenue_FY2030</f>
        <v>2188445.0339338607</v>
      </c>
    </row>
    <row r="7" spans="1:6" x14ac:dyDescent="0.3">
      <c r="A7" s="48" t="s">
        <v>1215</v>
      </c>
      <c r="B7" s="30" t="s">
        <v>428</v>
      </c>
      <c r="C7" s="83">
        <f>IS_Revenue_FY2027/IS_Revenue_FY2026-1</f>
        <v>0.15385604660909435</v>
      </c>
      <c r="D7" s="83">
        <f>IS_Revenue_FY2028/IS_Revenue_FY2027-1</f>
        <v>0.16350604373220978</v>
      </c>
      <c r="E7" s="83">
        <f>IS_Revenue_FY2029/IS_Revenue_FY2028-1</f>
        <v>0.16709361074854967</v>
      </c>
      <c r="F7" s="83">
        <f>IS_Revenue_FY2030/IS_Revenue_FY2029-1</f>
        <v>0.16992665166190046</v>
      </c>
    </row>
    <row r="8" spans="1:6" x14ac:dyDescent="0.3">
      <c r="A8" s="48" t="s">
        <v>162</v>
      </c>
      <c r="B8" s="84">
        <f>IS_Revenue_FY2026-COGS_FY2026</f>
        <v>865698.92777556332</v>
      </c>
      <c r="C8" s="84">
        <f>IS_Revenue_FY2027-COGS_FY2027</f>
        <v>995001.86765007209</v>
      </c>
      <c r="D8" s="84">
        <f>IS_Revenue_FY2028-COGS_FY2028</f>
        <v>1157690.6865356951</v>
      </c>
      <c r="E8" s="84">
        <f>IS_Revenue_FY2029-COGS_FY2029</f>
        <v>1351133.4034789121</v>
      </c>
      <c r="F8" s="84">
        <f>IS_Revenue_FY2030-COGS_FY2030</f>
        <v>1580726.9786806311</v>
      </c>
    </row>
    <row r="9" spans="1:6" x14ac:dyDescent="0.3">
      <c r="A9" s="48" t="s">
        <v>1216</v>
      </c>
      <c r="B9" s="83">
        <f>(IS_Revenue_FY2026-COGS_FY2026)/IS_Revenue_FY2026</f>
        <v>0.72512993872062292</v>
      </c>
      <c r="C9" s="83">
        <f>(IS_Revenue_FY2027-COGS_FY2027)/IS_Revenue_FY2027</f>
        <v>0.722306</v>
      </c>
      <c r="D9" s="83">
        <f>(IS_Revenue_FY2028-COGS_FY2028)/IS_Revenue_FY2028</f>
        <v>0.72230599999999989</v>
      </c>
      <c r="E9" s="83">
        <f>(IS_Revenue_FY2029-COGS_FY2029)/IS_Revenue_FY2029</f>
        <v>0.722306</v>
      </c>
      <c r="F9" s="83">
        <f>(IS_Revenue_FY2030-COGS_FY2030)/IS_Revenue_FY2030</f>
        <v>0.722306</v>
      </c>
    </row>
    <row r="10" spans="1:6" x14ac:dyDescent="0.3">
      <c r="A10" s="34" t="s">
        <v>734</v>
      </c>
      <c r="B10" s="82">
        <f>EBIT_FY2026</f>
        <v>157315.28583356575</v>
      </c>
      <c r="C10" s="82">
        <f>EBIT_FY2027</f>
        <v>179985.98104324634</v>
      </c>
      <c r="D10" s="82">
        <f>EBIT_FY2028</f>
        <v>209414.77673088806</v>
      </c>
      <c r="E10" s="82">
        <f>EBIT_FY2029</f>
        <v>244406.64791895356</v>
      </c>
      <c r="F10" s="82">
        <f>EBIT_FY2030</f>
        <v>285937.8512437304</v>
      </c>
    </row>
    <row r="11" spans="1:6" x14ac:dyDescent="0.3">
      <c r="A11" s="48" t="s">
        <v>1217</v>
      </c>
      <c r="B11" s="83">
        <f>EBIT_FY2026/IS_Revenue_FY2026</f>
        <v>0.13177101174126102</v>
      </c>
      <c r="C11" s="83">
        <f>EBIT_FY2027/IS_Revenue_FY2027</f>
        <v>0.13065799999999997</v>
      </c>
      <c r="D11" s="83">
        <f>EBIT_FY2028/IS_Revenue_FY2028</f>
        <v>0.13065799999999997</v>
      </c>
      <c r="E11" s="83">
        <f>EBIT_FY2029/IS_Revenue_FY2029</f>
        <v>0.130658</v>
      </c>
      <c r="F11" s="83">
        <f>EBIT_FY2030/IS_Revenue_FY2030</f>
        <v>0.13065800000000002</v>
      </c>
    </row>
    <row r="12" spans="1:6" x14ac:dyDescent="0.3">
      <c r="A12" s="34" t="s">
        <v>433</v>
      </c>
      <c r="B12" s="82">
        <f>NetIncome_FY2026</f>
        <v>170799.32626187796</v>
      </c>
      <c r="C12" s="82">
        <f>NetIncome_FY2027</f>
        <v>213287.60479929927</v>
      </c>
      <c r="D12" s="82">
        <f>NetIncome_FY2028</f>
        <v>249229.79614302504</v>
      </c>
      <c r="E12" s="82">
        <f>NetIncome_FY2029</f>
        <v>292815.70059710782</v>
      </c>
      <c r="F12" s="82">
        <f>NetIncome_FY2030</f>
        <v>345421.65807284124</v>
      </c>
    </row>
    <row r="13" spans="1:6" x14ac:dyDescent="0.3">
      <c r="A13" s="48" t="s">
        <v>1218</v>
      </c>
      <c r="B13" s="83">
        <f>NetIncome_FY2026/IS_Revenue_FY2026</f>
        <v>0.14306556357189854</v>
      </c>
      <c r="C13" s="83">
        <f>NetIncome_FY2027/IS_Revenue_FY2027</f>
        <v>0.15483279145596837</v>
      </c>
      <c r="D13" s="83">
        <f>NetIncome_FY2028/IS_Revenue_FY2028</f>
        <v>0.15549937407856418</v>
      </c>
      <c r="E13" s="83">
        <f>NetIncome_FY2029/IS_Revenue_FY2029</f>
        <v>0.15653712423282237</v>
      </c>
      <c r="F13" s="83">
        <f>NetIncome_FY2030/IS_Revenue_FY2030</f>
        <v>0.15783885485664914</v>
      </c>
    </row>
    <row r="14" spans="1:6" ht="18" customHeight="1" x14ac:dyDescent="0.3">
      <c r="A14" s="11" t="s">
        <v>1219</v>
      </c>
      <c r="B14" s="11" t="s">
        <v>76</v>
      </c>
      <c r="C14" s="11" t="s">
        <v>596</v>
      </c>
      <c r="D14" s="11" t="s">
        <v>597</v>
      </c>
      <c r="E14" s="11" t="s">
        <v>598</v>
      </c>
      <c r="F14" s="11" t="s">
        <v>576</v>
      </c>
    </row>
    <row r="15" spans="1:6" x14ac:dyDescent="0.3">
      <c r="A15" s="48" t="s">
        <v>892</v>
      </c>
      <c r="B15" s="84">
        <f>CF_OCF_FY2026</f>
        <v>393224.33992850012</v>
      </c>
      <c r="C15" s="84">
        <f>CF_OCF_FY2027</f>
        <v>460178.36631885642</v>
      </c>
      <c r="D15" s="84">
        <f>CF_OCF_FY2028</f>
        <v>539210.17250826466</v>
      </c>
      <c r="E15" s="84">
        <f>CF_OCF_FY2029</f>
        <v>632464.07305648213</v>
      </c>
      <c r="F15" s="84">
        <f>CF_OCF_FY2030</f>
        <v>743900.8832125857</v>
      </c>
    </row>
    <row r="16" spans="1:6" x14ac:dyDescent="0.3">
      <c r="A16" s="48" t="s">
        <v>893</v>
      </c>
      <c r="B16" s="84">
        <f>CF_ICF_FY2026</f>
        <v>-24227.866427166096</v>
      </c>
      <c r="C16" s="84">
        <f>CF_ICF_FY2027</f>
        <v>-36366.926629381313</v>
      </c>
      <c r="D16" s="84">
        <f>CF_ICF_FY2028</f>
        <v>-42313.138925251005</v>
      </c>
      <c r="E16" s="84">
        <f>CF_ICF_FY2029</f>
        <v>-49383.394090376205</v>
      </c>
      <c r="F16" s="84">
        <f>CF_ICF_FY2030</f>
        <v>-57774.948895853922</v>
      </c>
    </row>
    <row r="17" spans="1:6" x14ac:dyDescent="0.3">
      <c r="A17" s="34" t="s">
        <v>842</v>
      </c>
      <c r="B17" s="82">
        <f>CF_EndCash_FY2026</f>
        <v>1235194.973501334</v>
      </c>
      <c r="C17" s="82">
        <f>CF_EndCash_FY2027</f>
        <v>1490753.4131908091</v>
      </c>
      <c r="D17" s="82">
        <f>CF_EndCash_FY2028</f>
        <v>1819397.4467738227</v>
      </c>
      <c r="E17" s="82">
        <f>CF_EndCash_FY2029</f>
        <v>2234225.1257399283</v>
      </c>
      <c r="F17" s="82">
        <f>CF_EndCash_FY2030</f>
        <v>2752098.0600566603</v>
      </c>
    </row>
    <row r="18" spans="1:6" x14ac:dyDescent="0.3">
      <c r="A18" s="34" t="s">
        <v>1220</v>
      </c>
      <c r="B18" s="82">
        <f>DCF_FCFF_FY2026</f>
        <v>73906.951623625457</v>
      </c>
      <c r="C18" s="82">
        <f>DCF_FCFF_FY2027</f>
        <v>368200.97521216737</v>
      </c>
      <c r="D18" s="82">
        <f>DCF_FCFF_FY2028</f>
        <v>431125.54316303751</v>
      </c>
      <c r="E18" s="82">
        <f>DCF_FCFF_FY2029</f>
        <v>504377.99481712258</v>
      </c>
      <c r="F18" s="82">
        <f>DCF_FCFF_FY2030</f>
        <v>591200.8006542743</v>
      </c>
    </row>
    <row r="19" spans="1:6" ht="55.2" x14ac:dyDescent="0.3">
      <c r="A19" s="85" t="s">
        <v>1221</v>
      </c>
    </row>
    <row r="20" spans="1:6" ht="18" customHeight="1" x14ac:dyDescent="0.3">
      <c r="A20" s="11" t="s">
        <v>1222</v>
      </c>
      <c r="B20" s="11" t="s">
        <v>76</v>
      </c>
      <c r="C20" s="11" t="s">
        <v>596</v>
      </c>
      <c r="D20" s="11" t="s">
        <v>597</v>
      </c>
      <c r="E20" s="11" t="s">
        <v>598</v>
      </c>
      <c r="F20" s="11" t="s">
        <v>576</v>
      </c>
    </row>
    <row r="21" spans="1:6" x14ac:dyDescent="0.3">
      <c r="A21" s="48" t="s">
        <v>939</v>
      </c>
      <c r="B21" s="84">
        <f>DCF_PvExplicit</f>
        <v>3109718.4287563832</v>
      </c>
    </row>
    <row r="22" spans="1:6" x14ac:dyDescent="0.3">
      <c r="A22" s="48" t="s">
        <v>937</v>
      </c>
      <c r="B22" s="84">
        <f>DCF_PvTerminal</f>
        <v>3071896.797374404</v>
      </c>
    </row>
    <row r="23" spans="1:6" x14ac:dyDescent="0.3">
      <c r="A23" s="48" t="s">
        <v>1223</v>
      </c>
      <c r="B23" s="84">
        <f>DCF_TerminalValue</f>
        <v>8221173.5277823266</v>
      </c>
    </row>
    <row r="24" spans="1:6" x14ac:dyDescent="0.3">
      <c r="A24" s="34" t="s">
        <v>940</v>
      </c>
      <c r="B24" s="82">
        <f>DCF_EV</f>
        <v>6181615.2261307873</v>
      </c>
    </row>
    <row r="25" spans="1:6" x14ac:dyDescent="0.3">
      <c r="A25" s="48" t="s">
        <v>947</v>
      </c>
      <c r="B25" s="84">
        <f>DCF_NetCash</f>
        <v>1435448.7299135076</v>
      </c>
    </row>
    <row r="26" spans="1:6" x14ac:dyDescent="0.3">
      <c r="A26" s="34" t="s">
        <v>948</v>
      </c>
      <c r="B26" s="82">
        <f>DCF_EquityValue</f>
        <v>7617063.9560442949</v>
      </c>
    </row>
    <row r="27" spans="1:6" x14ac:dyDescent="0.3">
      <c r="A27" s="48" t="s">
        <v>17</v>
      </c>
      <c r="B27" s="86">
        <f>Cover_WACC</f>
        <v>0.111225</v>
      </c>
    </row>
    <row r="28" spans="1:6" x14ac:dyDescent="0.3">
      <c r="A28" s="48" t="s">
        <v>1224</v>
      </c>
      <c r="B28" s="86">
        <f>Cover_TerminalGrowth</f>
        <v>2.5000000000000001E-2</v>
      </c>
    </row>
    <row r="29" spans="1:6" x14ac:dyDescent="0.3">
      <c r="A29" s="48" t="s">
        <v>1225</v>
      </c>
      <c r="B29" s="87">
        <f>Cover_SharesDiluted</f>
        <v>50061458</v>
      </c>
    </row>
    <row r="30" spans="1:6" x14ac:dyDescent="0.3">
      <c r="A30" s="85" t="s">
        <v>1226</v>
      </c>
    </row>
    <row r="31" spans="1:6" x14ac:dyDescent="0.3">
      <c r="A31" s="34" t="s">
        <v>1227</v>
      </c>
      <c r="B31" s="88">
        <f>DCF_PerShareCanonical</f>
        <v>112.74136039195822</v>
      </c>
    </row>
    <row r="32" spans="1:6" x14ac:dyDescent="0.3">
      <c r="A32" s="48" t="s">
        <v>1228</v>
      </c>
      <c r="B32" s="89">
        <f>DCF_PerShareFinite</f>
        <v>113.8687739958778</v>
      </c>
    </row>
    <row r="33" spans="1:6" x14ac:dyDescent="0.3">
      <c r="A33" s="48" t="s">
        <v>1229</v>
      </c>
      <c r="B33" s="89">
        <f>DCF_PerShareSpot</f>
        <v>152.1542571941132</v>
      </c>
    </row>
    <row r="34" spans="1:6" x14ac:dyDescent="0.3">
      <c r="A34" s="48" t="s">
        <v>1230</v>
      </c>
      <c r="B34" s="89">
        <f>Cover_MarketPrice</f>
        <v>157.85</v>
      </c>
    </row>
    <row r="35" spans="1:6" x14ac:dyDescent="0.3">
      <c r="A35" s="34" t="s">
        <v>1231</v>
      </c>
      <c r="B35" s="90">
        <f>DCF_PerShareCanonical/Cover_MarketPrice-1</f>
        <v>-0.28576901873957405</v>
      </c>
    </row>
    <row r="36" spans="1:6" ht="69" x14ac:dyDescent="0.3">
      <c r="A36" s="85" t="s">
        <v>1232</v>
      </c>
    </row>
    <row r="37" spans="1:6" ht="18" customHeight="1" x14ac:dyDescent="0.3">
      <c r="A37" s="11" t="s">
        <v>1233</v>
      </c>
      <c r="B37" s="11" t="s">
        <v>76</v>
      </c>
      <c r="C37" s="11" t="s">
        <v>596</v>
      </c>
      <c r="D37" s="11" t="s">
        <v>597</v>
      </c>
      <c r="E37" s="11" t="s">
        <v>598</v>
      </c>
      <c r="F37" s="11" t="s">
        <v>576</v>
      </c>
    </row>
    <row r="38" spans="1:6" x14ac:dyDescent="0.3">
      <c r="A38" s="48" t="s">
        <v>1234</v>
      </c>
      <c r="B38" s="89">
        <f>Scen_Bear_Canon</f>
        <v>61.469779056479048</v>
      </c>
    </row>
    <row r="39" spans="1:6" x14ac:dyDescent="0.3">
      <c r="A39" s="48" t="s">
        <v>1235</v>
      </c>
      <c r="B39" s="89">
        <f>Scen_Base_Canon</f>
        <v>112.74136039195821</v>
      </c>
    </row>
    <row r="40" spans="1:6" x14ac:dyDescent="0.3">
      <c r="A40" s="48" t="s">
        <v>1236</v>
      </c>
      <c r="B40" s="89">
        <f>Scen_Bull_Canon</f>
        <v>238.06811086425762</v>
      </c>
    </row>
    <row r="41" spans="1:6" x14ac:dyDescent="0.3">
      <c r="A41" s="48" t="s">
        <v>1237</v>
      </c>
      <c r="B41" s="84">
        <f>Scen_Base_EV</f>
        <v>6181615.2261307864</v>
      </c>
    </row>
    <row r="42" spans="1:6" x14ac:dyDescent="0.3">
      <c r="A42" s="48" t="s">
        <v>1238</v>
      </c>
      <c r="B42" s="89">
        <f>Sens_Center</f>
        <v>112.74136039195821</v>
      </c>
    </row>
    <row r="43" spans="1:6" ht="69" x14ac:dyDescent="0.3">
      <c r="A43" s="85" t="s">
        <v>1239</v>
      </c>
    </row>
  </sheetData>
  <sheetProtection sheet="1" formatCells="0" formatColumns="0" formatRows="0" insertRows="0" deleteRows="0" sort="0" autoFilter="0"/>
  <mergeCells count="3">
    <mergeCell ref="A1:F1"/>
    <mergeCell ref="A2:F2"/>
    <mergeCell ref="A3:F3"/>
  </mergeCells>
  <pageMargins left="0.4" right="0.4" top="0.6" bottom="0.6" header="0.3" footer="0.3"/>
  <pageSetup fitToHeight="0" orientation="landscape" useFirstPageNumber="1" horizontalDpi="4294967295" verticalDpi="4294967295"/>
  <headerFooter>
    <oddHeader>&amp;L&amp;"Calibri,Bold"18_Summary&amp;R&amp;P / &amp;N</oddHeader>
    <oddFooter>&amp;LInternal model — not investment advice&amp;RAs-of 2026-10-06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650</vt:i4>
      </vt:variant>
    </vt:vector>
  </HeadingPairs>
  <TitlesOfParts>
    <vt:vector size="669" baseType="lpstr">
      <vt:lpstr>00_Cover</vt:lpstr>
      <vt:lpstr>01_Control</vt:lpstr>
      <vt:lpstr>02_Sources</vt:lpstr>
      <vt:lpstr>03_Historicals</vt:lpstr>
      <vt:lpstr>04_Assumptions</vt:lpstr>
      <vt:lpstr>05_User_Model</vt:lpstr>
      <vt:lpstr>06_Revenue_Bookings</vt:lpstr>
      <vt:lpstr>07_Costs_Opex</vt:lpstr>
      <vt:lpstr>08_Working_Capital</vt:lpstr>
      <vt:lpstr>09_Capex_DA</vt:lpstr>
      <vt:lpstr>10_SBC_Shares</vt:lpstr>
      <vt:lpstr>11_Taxes</vt:lpstr>
      <vt:lpstr>12_IS</vt:lpstr>
      <vt:lpstr>13_BS</vt:lpstr>
      <vt:lpstr>14_CF</vt:lpstr>
      <vt:lpstr>15_DCF</vt:lpstr>
      <vt:lpstr>16_Scenarios_Sens</vt:lpstr>
      <vt:lpstr>17_Checks</vt:lpstr>
      <vt:lpstr>18_Summary</vt:lpstr>
      <vt:lpstr>Accrued_FY2026</vt:lpstr>
      <vt:lpstr>Accrued_FY2027</vt:lpstr>
      <vt:lpstr>Accrued_FY2028</vt:lpstr>
      <vt:lpstr>Accrued_FY2029</vt:lpstr>
      <vt:lpstr>Accrued_FY2030</vt:lpstr>
      <vt:lpstr>AmortBasis_FY2026</vt:lpstr>
      <vt:lpstr>AmortBasis_FY2027</vt:lpstr>
      <vt:lpstr>AmortBasis_FY2028</vt:lpstr>
      <vt:lpstr>AmortBasis_FY2029</vt:lpstr>
      <vt:lpstr>AmortBasis_FY2030</vt:lpstr>
      <vt:lpstr>AP_FY2026</vt:lpstr>
      <vt:lpstr>AP_FY2027</vt:lpstr>
      <vt:lpstr>AP_FY2028</vt:lpstr>
      <vt:lpstr>AP_FY2029</vt:lpstr>
      <vt:lpstr>AP_FY2030</vt:lpstr>
      <vt:lpstr>AR_FY2026</vt:lpstr>
      <vt:lpstr>AR_FY2027</vt:lpstr>
      <vt:lpstr>AR_FY2028</vt:lpstr>
      <vt:lpstr>AR_FY2029</vt:lpstr>
      <vt:lpstr>AR_FY2030</vt:lpstr>
      <vt:lpstr>Assumption_accounts_payable_pct_revenue</vt:lpstr>
      <vt:lpstr>Assumption_accrued_expenses_pct_revenue</vt:lpstr>
      <vt:lpstr>Assumption_advertising_revenue_growth</vt:lpstr>
      <vt:lpstr>Assumption_amortization_pct_revenue</vt:lpstr>
      <vt:lpstr>Assumption_beta</vt:lpstr>
      <vt:lpstr>Assumption_capex_ppe_pct_revenue</vt:lpstr>
      <vt:lpstr>Assumption_capex_total_pct_revenue</vt:lpstr>
      <vt:lpstr>Assumption_capitalized_software_pct_revenue</vt:lpstr>
      <vt:lpstr>Assumption_cost_of_revenue_pct_revenue</vt:lpstr>
      <vt:lpstr>Assumption_deferred_cost_pct_revenue</vt:lpstr>
      <vt:lpstr>Assumption_deferred_revenue_pct_revenue</vt:lpstr>
      <vt:lpstr>Assumption_depreciation_pct_ppe_gross</vt:lpstr>
      <vt:lpstr>Assumption_depreciation_pct_revenue</vt:lpstr>
      <vt:lpstr>Assumption_det_revenue_growth</vt:lpstr>
      <vt:lpstr>Assumption_dpo_days</vt:lpstr>
      <vt:lpstr>Assumption_dso_days</vt:lpstr>
      <vt:lpstr>Assumption_effective_tax_rate</vt:lpstr>
      <vt:lpstr>Assumption_equity_risk_premium</vt:lpstr>
      <vt:lpstr>Assumption_fade_shape</vt:lpstr>
      <vt:lpstr>Assumption_ga_pct_revenue</vt:lpstr>
      <vt:lpstr>Assumption_iap_revenue_growth</vt:lpstr>
      <vt:lpstr>Assumption_income_tax_payable_pct_revenue</vt:lpstr>
      <vt:lpstr>Assumption_income_tax_receivable_pct_revenue</vt:lpstr>
      <vt:lpstr>Assumption_interest_income_rate</vt:lpstr>
      <vt:lpstr>Assumption_market_share_price</vt:lpstr>
      <vt:lpstr>Assumption_net_share_settlement_taxes</vt:lpstr>
      <vt:lpstr>Assumption_option_proceeds</vt:lpstr>
      <vt:lpstr>Assumption_other_income_net_pct_revenue</vt:lpstr>
      <vt:lpstr>Assumption_other_revenue_growth</vt:lpstr>
      <vt:lpstr>Assumption_paid_subscriber_fade_floor</vt:lpstr>
      <vt:lpstr>Assumption_paid_subscriber_growth</vt:lpstr>
      <vt:lpstr>Assumption_prepaid_expenses_pct_revenue</vt:lpstr>
      <vt:lpstr>Assumption_rd_pct_revenue</vt:lpstr>
      <vt:lpstr>Assumption_risk_free_rate</vt:lpstr>
      <vt:lpstr>Assumption_sbc_fade_end_pct_of_revenue</vt:lpstr>
      <vt:lpstr>Assumption_sbc_issuance_price</vt:lpstr>
      <vt:lpstr>Assumption_sbc_target_pct_of_revenue</vt:lpstr>
      <vt:lpstr>Assumption_share_repurchases</vt:lpstr>
      <vt:lpstr>Assumption_shares_outstanding</vt:lpstr>
      <vt:lpstr>Assumption_sm_pct_revenue</vt:lpstr>
      <vt:lpstr>Assumption_subscription_arpu</vt:lpstr>
      <vt:lpstr>Assumption_terminal_growth_rate</vt:lpstr>
      <vt:lpstr>Bound_C2_PCT</vt:lpstr>
      <vt:lpstr>BS_Cash_Q2FY26</vt:lpstr>
      <vt:lpstr>BS_LTI_Q2FY26</vt:lpstr>
      <vt:lpstr>BS_STI_Q2FY26</vt:lpstr>
      <vt:lpstr>BSQ2_APIC</vt:lpstr>
      <vt:lpstr>BSQ2_Cash</vt:lpstr>
      <vt:lpstr>BSQ2_Common</vt:lpstr>
      <vt:lpstr>BSQ2_DTA</vt:lpstr>
      <vt:lpstr>BSQ2_DTL</vt:lpstr>
      <vt:lpstr>BSQ2_Goodwill</vt:lpstr>
      <vt:lpstr>BSQ2_Lease</vt:lpstr>
      <vt:lpstr>BSQ2_LTI</vt:lpstr>
      <vt:lpstr>BSQ2_Other</vt:lpstr>
      <vt:lpstr>BSQ2_RE</vt:lpstr>
      <vt:lpstr>BSQ2_Restricted</vt:lpstr>
      <vt:lpstr>BSQ2_ROU</vt:lpstr>
      <vt:lpstr>BSQ2_STI</vt:lpstr>
      <vt:lpstr>BSQ2_Treasury</vt:lpstr>
      <vt:lpstr>BuybackBasis_FY2026</vt:lpstr>
      <vt:lpstr>BuybackBasis_FY2027</vt:lpstr>
      <vt:lpstr>BuybackBasis_FY2028</vt:lpstr>
      <vt:lpstr>BuybackBasis_FY2029</vt:lpstr>
      <vt:lpstr>BuybackBasis_FY2030</vt:lpstr>
      <vt:lpstr>CapexPPEBasis_FY2026</vt:lpstr>
      <vt:lpstr>CapexPPEBasis_FY2027</vt:lpstr>
      <vt:lpstr>CapexPPEBasis_FY2028</vt:lpstr>
      <vt:lpstr>CapexPPEBasis_FY2029</vt:lpstr>
      <vt:lpstr>CapexPPEBasis_FY2030</vt:lpstr>
      <vt:lpstr>CapSoftBasis_FY2026</vt:lpstr>
      <vt:lpstr>CapSoftBasis_FY2027</vt:lpstr>
      <vt:lpstr>CapSoftBasis_FY2028</vt:lpstr>
      <vt:lpstr>CapSoftBasis_FY2029</vt:lpstr>
      <vt:lpstr>CapSoftBasis_FY2030</vt:lpstr>
      <vt:lpstr>CF_EndCash_FY2026</vt:lpstr>
      <vt:lpstr>CF_EndCash_FY2027</vt:lpstr>
      <vt:lpstr>CF_EndCash_FY2028</vt:lpstr>
      <vt:lpstr>CF_EndCash_FY2029</vt:lpstr>
      <vt:lpstr>CF_EndCash_FY2030</vt:lpstr>
      <vt:lpstr>CF_ICF_FY2026</vt:lpstr>
      <vt:lpstr>CF_ICF_FY2027</vt:lpstr>
      <vt:lpstr>CF_ICF_FY2028</vt:lpstr>
      <vt:lpstr>CF_ICF_FY2029</vt:lpstr>
      <vt:lpstr>CF_ICF_FY2030</vt:lpstr>
      <vt:lpstr>CF_ICF_H1_FY2026</vt:lpstr>
      <vt:lpstr>CF_ICF_H2_FY2026</vt:lpstr>
      <vt:lpstr>CF_InterestBasisNote</vt:lpstr>
      <vt:lpstr>CF_NI_Solved_FY2026</vt:lpstr>
      <vt:lpstr>CF_OCF_FY2026</vt:lpstr>
      <vt:lpstr>CF_OCF_FY2027</vt:lpstr>
      <vt:lpstr>CF_OCF_FY2028</vt:lpstr>
      <vt:lpstr>CF_OCF_FY2029</vt:lpstr>
      <vt:lpstr>CF_OCF_FY2030</vt:lpstr>
      <vt:lpstr>CF_OCF_H1_FY2026</vt:lpstr>
      <vt:lpstr>CF_OCF_H2_FY2026</vt:lpstr>
      <vt:lpstr>CF_OCF_H2_FY2027</vt:lpstr>
      <vt:lpstr>CF_OCF_H2_FY2028</vt:lpstr>
      <vt:lpstr>CF_OCF_H2_FY2029</vt:lpstr>
      <vt:lpstr>CF_OCF_H2_FY2030</vt:lpstr>
      <vt:lpstr>CHK_BS_Balance_B</vt:lpstr>
      <vt:lpstr>CHK_BS_Balance_C</vt:lpstr>
      <vt:lpstr>CHK_BS_Balance_D</vt:lpstr>
      <vt:lpstr>CHK_BS_Balance_E</vt:lpstr>
      <vt:lpstr>CHK_BS_Balance_F</vt:lpstr>
      <vt:lpstr>CHK_BS_BalanceTie_B</vt:lpstr>
      <vt:lpstr>CHK_BS_BalanceTie_C</vt:lpstr>
      <vt:lpstr>CHK_BS_BalanceTie_D</vt:lpstr>
      <vt:lpstr>CHK_BS_BalanceTie_E</vt:lpstr>
      <vt:lpstr>CHK_BS_BalanceTie_F</vt:lpstr>
      <vt:lpstr>CHK_BS_CashRoll_B</vt:lpstr>
      <vt:lpstr>CHK_BS_CashRoll_C</vt:lpstr>
      <vt:lpstr>CHK_BS_CashRoll_D</vt:lpstr>
      <vt:lpstr>CHK_BS_CashRoll_E</vt:lpstr>
      <vt:lpstr>CHK_BS_CashRoll_F</vt:lpstr>
      <vt:lpstr>CHK_CF_Chain_B</vt:lpstr>
      <vt:lpstr>CHK_CF_Chain_C</vt:lpstr>
      <vt:lpstr>CHK_CF_Chain_D</vt:lpstr>
      <vt:lpstr>CHK_CF_Chain_E</vt:lpstr>
      <vt:lpstr>CHK_CF_Foot_B</vt:lpstr>
      <vt:lpstr>CHK_CF_Foot_C</vt:lpstr>
      <vt:lpstr>CHK_CF_Foot_D</vt:lpstr>
      <vt:lpstr>CHK_CF_Foot_E</vt:lpstr>
      <vt:lpstr>CHK_CF_Foot_F</vt:lpstr>
      <vt:lpstr>CHK_CF_H2Foot_B</vt:lpstr>
      <vt:lpstr>CHK_DCF_CanonicalLeFinite</vt:lpstr>
      <vt:lpstr>CHK_DCF_DaysLive_B</vt:lpstr>
      <vt:lpstr>CHK_DCF_DaysLive_C</vt:lpstr>
      <vt:lpstr>CHK_DCF_DaysLive_D</vt:lpstr>
      <vt:lpstr>CHK_DCF_DaysLive_E</vt:lpstr>
      <vt:lpstr>CHK_DCF_DaysLive_F</vt:lpstr>
      <vt:lpstr>CHK_DCF_DaysLive_G</vt:lpstr>
      <vt:lpstr>CHK_DCF_DaysLive_H</vt:lpstr>
      <vt:lpstr>CHK_DCF_DaysLive_I</vt:lpstr>
      <vt:lpstr>CHK_DCF_DaysLive_J</vt:lpstr>
      <vt:lpstr>CHK_DCF_DaysLive_K</vt:lpstr>
      <vt:lpstr>CHK_DCF_Dilution</vt:lpstr>
      <vt:lpstr>CHK_DCF_DiscountFactor</vt:lpstr>
      <vt:lpstr>CHK_DCF_DiscountFactorLive_B</vt:lpstr>
      <vt:lpstr>CHK_DCF_DiscountFactorLive_C</vt:lpstr>
      <vt:lpstr>CHK_DCF_DiscountFactorLive_D</vt:lpstr>
      <vt:lpstr>CHK_DCF_DiscountFactorLive_E</vt:lpstr>
      <vt:lpstr>CHK_DCF_DiscountFactorLive_F</vt:lpstr>
      <vt:lpstr>CHK_DCF_DiscountFactorLive_G</vt:lpstr>
      <vt:lpstr>CHK_DCF_DiscountFactorLive_H</vt:lpstr>
      <vt:lpstr>CHK_DCF_DiscountFactorLive_I</vt:lpstr>
      <vt:lpstr>CHK_DCF_DiscountFactorLive_J</vt:lpstr>
      <vt:lpstr>CHK_DCF_DiscountFactorLive_K</vt:lpstr>
      <vt:lpstr>CHK_DCF_Divisor</vt:lpstr>
      <vt:lpstr>CHK_DCF_Dperm</vt:lpstr>
      <vt:lpstr>CHK_DCF_Equity</vt:lpstr>
      <vt:lpstr>CHK_DCF_EquityEng</vt:lpstr>
      <vt:lpstr>CHK_DCF_EquityFoot</vt:lpstr>
      <vt:lpstr>CHK_DCF_Ev</vt:lpstr>
      <vt:lpstr>CHK_DCF_EVEng</vt:lpstr>
      <vt:lpstr>CHK_DCF_FcffFull</vt:lpstr>
      <vt:lpstr>CHK_DCF_FcffLive_B</vt:lpstr>
      <vt:lpstr>CHK_DCF_FcffLive_C</vt:lpstr>
      <vt:lpstr>CHK_DCF_FcffLive_D</vt:lpstr>
      <vt:lpstr>CHK_DCF_FcffLive_E</vt:lpstr>
      <vt:lpstr>CHK_DCF_FcffLive_F</vt:lpstr>
      <vt:lpstr>CHK_DCF_FcffLive_G</vt:lpstr>
      <vt:lpstr>CHK_DCF_FcffLive_H</vt:lpstr>
      <vt:lpstr>CHK_DCF_FcffLive_I</vt:lpstr>
      <vt:lpstr>CHK_DCF_FcffLive_J</vt:lpstr>
      <vt:lpstr>CHK_DCF_FcffLive_K</vt:lpstr>
      <vt:lpstr>CHK_DCF_GLive</vt:lpstr>
      <vt:lpstr>CHK_DCF_NetCash</vt:lpstr>
      <vt:lpstr>CHK_DCF_NetCashBasis</vt:lpstr>
      <vt:lpstr>CHK_DCF_PsCanon</vt:lpstr>
      <vt:lpstr>CHK_DCF_PsFinite</vt:lpstr>
      <vt:lpstr>CHK_DCF_PsSpot</vt:lpstr>
      <vt:lpstr>CHK_DCF_PvEng_B</vt:lpstr>
      <vt:lpstr>CHK_DCF_PvEng_C</vt:lpstr>
      <vt:lpstr>CHK_DCF_PvEng_D</vt:lpstr>
      <vt:lpstr>CHK_DCF_PvEng_E</vt:lpstr>
      <vt:lpstr>CHK_DCF_PvEng_F</vt:lpstr>
      <vt:lpstr>CHK_DCF_PvEng_G</vt:lpstr>
      <vt:lpstr>CHK_DCF_PvEng_H</vt:lpstr>
      <vt:lpstr>CHK_DCF_PvEng_I</vt:lpstr>
      <vt:lpstr>CHK_DCF_PvEng_J</vt:lpstr>
      <vt:lpstr>CHK_DCF_PvEng_K</vt:lpstr>
      <vt:lpstr>CHK_DCF_PvFoot</vt:lpstr>
      <vt:lpstr>CHK_DCF_PvLive_B</vt:lpstr>
      <vt:lpstr>CHK_DCF_PvLive_C</vt:lpstr>
      <vt:lpstr>CHK_DCF_PvLive_D</vt:lpstr>
      <vt:lpstr>CHK_DCF_PvLive_E</vt:lpstr>
      <vt:lpstr>CHK_DCF_PvLive_F</vt:lpstr>
      <vt:lpstr>CHK_DCF_PvLive_G</vt:lpstr>
      <vt:lpstr>CHK_DCF_PvLive_H</vt:lpstr>
      <vt:lpstr>CHK_DCF_PvLive_I</vt:lpstr>
      <vt:lpstr>CHK_DCF_PvLive_J</vt:lpstr>
      <vt:lpstr>CHK_DCF_PvLive_K</vt:lpstr>
      <vt:lpstr>CHK_DCF_RolledCash</vt:lpstr>
      <vt:lpstr>CHK_DCF_Seam</vt:lpstr>
      <vt:lpstr>CHK_DCF_SeamDays</vt:lpstr>
      <vt:lpstr>CHK_DCF_Shares</vt:lpstr>
      <vt:lpstr>CHK_DCF_SpotDenominator</vt:lpstr>
      <vt:lpstr>CHK_DCF_SpotGtCanonical</vt:lpstr>
      <vt:lpstr>CHK_DCF_Stage1PV</vt:lpstr>
      <vt:lpstr>CHK_DCF_Stage2PV</vt:lpstr>
      <vt:lpstr>CHK_DCF_StageAdjacent</vt:lpstr>
      <vt:lpstr>CHK_DCF_StageSum</vt:lpstr>
      <vt:lpstr>CHK_DCF_TLive_B</vt:lpstr>
      <vt:lpstr>CHK_DCF_TLive_C</vt:lpstr>
      <vt:lpstr>CHK_DCF_TLive_D</vt:lpstr>
      <vt:lpstr>CHK_DCF_TLive_E</vt:lpstr>
      <vt:lpstr>CHK_DCF_TLive_F</vt:lpstr>
      <vt:lpstr>CHK_DCF_TLive_G</vt:lpstr>
      <vt:lpstr>CHK_DCF_TLive_H</vt:lpstr>
      <vt:lpstr>CHK_DCF_TLive_I</vt:lpstr>
      <vt:lpstr>CHK_DCF_TLive_J</vt:lpstr>
      <vt:lpstr>CHK_DCF_TLive_K</vt:lpstr>
      <vt:lpstr>CHK_DCF_WaccG</vt:lpstr>
      <vt:lpstr>CHK_DCF_WaccKe</vt:lpstr>
      <vt:lpstr>CHK_DCF_WaccLive</vt:lpstr>
      <vt:lpstr>CHK_DR_Foot_B</vt:lpstr>
      <vt:lpstr>CHK_DR_Foot_C</vt:lpstr>
      <vt:lpstr>CHK_DR_Foot_D</vt:lpstr>
      <vt:lpstr>CHK_DR_Foot_E</vt:lpstr>
      <vt:lpstr>CHK_DR_Foot_F</vt:lpstr>
      <vt:lpstr>CHK_EBIT_Bridge_B</vt:lpstr>
      <vt:lpstr>CHK_EBIT_Bridge_C</vt:lpstr>
      <vt:lpstr>CHK_EBIT_Bridge_D</vt:lpstr>
      <vt:lpstr>CHK_EBIT_Bridge_E</vt:lpstr>
      <vt:lpstr>CHK_EBIT_Bridge_F</vt:lpstr>
      <vt:lpstr>CHK_EBIT_Bridge_G</vt:lpstr>
      <vt:lpstr>CHK_H_BSBalance_B</vt:lpstr>
      <vt:lpstr>CHK_H_BSBalance_C</vt:lpstr>
      <vt:lpstr>CHK_H_BSBalance_D</vt:lpstr>
      <vt:lpstr>CHK_H_BSBalance_E</vt:lpstr>
      <vt:lpstr>CHK_H_BSBalance_F</vt:lpstr>
      <vt:lpstr>CHK_H_CashRoll_B</vt:lpstr>
      <vt:lpstr>CHK_H_CashRoll_C</vt:lpstr>
      <vt:lpstr>CHK_H_CashRoll_D</vt:lpstr>
      <vt:lpstr>CHK_H_CashRoll_E</vt:lpstr>
      <vt:lpstr>CHK_H_CashRoll_F</vt:lpstr>
      <vt:lpstr>CHK_H5_Divisor</vt:lpstr>
      <vt:lpstr>CHK_H5_Divisor_Eng</vt:lpstr>
      <vt:lpstr>CHK_IS_InterestSolve</vt:lpstr>
      <vt:lpstr>CHK_IS_Seam</vt:lpstr>
      <vt:lpstr>CHK_Shares_FD</vt:lpstr>
      <vt:lpstr>CHK_Shares_FD_Eng</vt:lpstr>
      <vt:lpstr>COGS_FY2026</vt:lpstr>
      <vt:lpstr>COGS_FY2027</vt:lpstr>
      <vt:lpstr>COGS_FY2028</vt:lpstr>
      <vt:lpstr>COGS_FY2029</vt:lpstr>
      <vt:lpstr>COGS_FY2030</vt:lpstr>
      <vt:lpstr>Control_Scenario</vt:lpstr>
      <vt:lpstr>Cover_MarketPrice</vt:lpstr>
      <vt:lpstr>Cover_NetCash</vt:lpstr>
      <vt:lpstr>Cover_SharesDiluted</vt:lpstr>
      <vt:lpstr>Cover_TerminalGrowth</vt:lpstr>
      <vt:lpstr>Cover_WACC</vt:lpstr>
      <vt:lpstr>DCF_EquityValue</vt:lpstr>
      <vt:lpstr>DCF_EV</vt:lpstr>
      <vt:lpstr>DCF_FCFF_FY2026</vt:lpstr>
      <vt:lpstr>DCF_FCFF_FY2027</vt:lpstr>
      <vt:lpstr>DCF_FCFF_FY2028</vt:lpstr>
      <vt:lpstr>DCF_FCFF_FY2029</vt:lpstr>
      <vt:lpstr>DCF_FCFF_FY2030</vt:lpstr>
      <vt:lpstr>DCF_FCFF_FY2031</vt:lpstr>
      <vt:lpstr>DCF_FCFF_FY2032</vt:lpstr>
      <vt:lpstr>DCF_FCFF_FY2033</vt:lpstr>
      <vt:lpstr>DCF_FCFF_FY2034</vt:lpstr>
      <vt:lpstr>DCF_FCFF_FY2035</vt:lpstr>
      <vt:lpstr>DCF_NetCash</vt:lpstr>
      <vt:lpstr>DCF_PerShareCanonical</vt:lpstr>
      <vt:lpstr>DCF_PerShareFinite</vt:lpstr>
      <vt:lpstr>DCF_PerShareSpot</vt:lpstr>
      <vt:lpstr>DCF_PvExplicit</vt:lpstr>
      <vt:lpstr>DCF_PvTerminal</vt:lpstr>
      <vt:lpstr>DCF_T_FY2026</vt:lpstr>
      <vt:lpstr>DCF_T_FY2027</vt:lpstr>
      <vt:lpstr>DCF_T_FY2028</vt:lpstr>
      <vt:lpstr>DCF_T_FY2029</vt:lpstr>
      <vt:lpstr>DCF_T_FY2030</vt:lpstr>
      <vt:lpstr>DCF_T_FY2031</vt:lpstr>
      <vt:lpstr>DCF_T_FY2032</vt:lpstr>
      <vt:lpstr>DCF_T_FY2033</vt:lpstr>
      <vt:lpstr>DCF_T_FY2034</vt:lpstr>
      <vt:lpstr>DCF_T_FY2035</vt:lpstr>
      <vt:lpstr>DCF_TerminalValue</vt:lpstr>
      <vt:lpstr>DCF_TminusHalf_FY2026</vt:lpstr>
      <vt:lpstr>DeferredCost_FY2026</vt:lpstr>
      <vt:lpstr>DeferredCost_FY2027</vt:lpstr>
      <vt:lpstr>DeferredCost_FY2028</vt:lpstr>
      <vt:lpstr>DeferredCost_FY2029</vt:lpstr>
      <vt:lpstr>DeferredCost_FY2030</vt:lpstr>
      <vt:lpstr>DepBasis_FY2026</vt:lpstr>
      <vt:lpstr>DepBasis_FY2027</vt:lpstr>
      <vt:lpstr>DepBasis_FY2028</vt:lpstr>
      <vt:lpstr>DepBasis_FY2029</vt:lpstr>
      <vt:lpstr>DepBasis_FY2030</vt:lpstr>
      <vt:lpstr>DR_EOP_FY2026</vt:lpstr>
      <vt:lpstr>DR_EOP_FY2027</vt:lpstr>
      <vt:lpstr>DR_EOP_FY2028</vt:lpstr>
      <vt:lpstr>DR_EOP_FY2029</vt:lpstr>
      <vt:lpstr>DR_EOP_FY2030</vt:lpstr>
      <vt:lpstr>EBIT_Cited_B</vt:lpstr>
      <vt:lpstr>EBIT_Cited_C</vt:lpstr>
      <vt:lpstr>EBIT_Cited_D</vt:lpstr>
      <vt:lpstr>EBIT_Cited_E</vt:lpstr>
      <vt:lpstr>EBIT_Cited_F</vt:lpstr>
      <vt:lpstr>EBIT_Cited_G</vt:lpstr>
      <vt:lpstr>EBIT_FY2026</vt:lpstr>
      <vt:lpstr>EBIT_FY2027</vt:lpstr>
      <vt:lpstr>EBIT_FY2028</vt:lpstr>
      <vt:lpstr>EBIT_FY2029</vt:lpstr>
      <vt:lpstr>EBIT_FY2030</vt:lpstr>
      <vt:lpstr>EBIT_Residual_B</vt:lpstr>
      <vt:lpstr>EBIT_Residual_C</vt:lpstr>
      <vt:lpstr>EBIT_Residual_D</vt:lpstr>
      <vt:lpstr>EBIT_Residual_E</vt:lpstr>
      <vt:lpstr>EBIT_Residual_F</vt:lpstr>
      <vt:lpstr>EBIT_Residual_G</vt:lpstr>
      <vt:lpstr>EBIT_Subtotal_B</vt:lpstr>
      <vt:lpstr>EBIT_Subtotal_C</vt:lpstr>
      <vt:lpstr>EBIT_Subtotal_D</vt:lpstr>
      <vt:lpstr>EBIT_Subtotal_E</vt:lpstr>
      <vt:lpstr>EBIT_Subtotal_F</vt:lpstr>
      <vt:lpstr>EBIT_Subtotal_G</vt:lpstr>
      <vt:lpstr>EBIT07_FY2026</vt:lpstr>
      <vt:lpstr>EBIT07_FY2027</vt:lpstr>
      <vt:lpstr>EBIT07_FY2028</vt:lpstr>
      <vt:lpstr>EBIT07_FY2029</vt:lpstr>
      <vt:lpstr>EBIT07_FY2030</vt:lpstr>
      <vt:lpstr>EBITH2_FY2026</vt:lpstr>
      <vt:lpstr>GnA_FY2026</vt:lpstr>
      <vt:lpstr>GnA_FY2027</vt:lpstr>
      <vt:lpstr>GnA_FY2028</vt:lpstr>
      <vt:lpstr>GnA_FY2029</vt:lpstr>
      <vt:lpstr>GnA_FY2030</vt:lpstr>
      <vt:lpstr>H1COGS_FY2026</vt:lpstr>
      <vt:lpstr>H1GnA_FY2026</vt:lpstr>
      <vt:lpstr>H1Other_FY2026</vt:lpstr>
      <vt:lpstr>H1Revenue_FY2026</vt:lpstr>
      <vt:lpstr>H1RnD_FY2026</vt:lpstr>
      <vt:lpstr>H1SnM_FY2026</vt:lpstr>
      <vt:lpstr>HST_Revenue_B</vt:lpstr>
      <vt:lpstr>HST_Revenue_C</vt:lpstr>
      <vt:lpstr>HST_Revenue_D</vt:lpstr>
      <vt:lpstr>HST_Revenue_E</vt:lpstr>
      <vt:lpstr>HST_Revenue_F</vt:lpstr>
      <vt:lpstr>HST_Revenue_G</vt:lpstr>
      <vt:lpstr>IntangNet_FY2026</vt:lpstr>
      <vt:lpstr>IntangNet_FY2027</vt:lpstr>
      <vt:lpstr>IntangNet_FY2028</vt:lpstr>
      <vt:lpstr>IntangNet_FY2029</vt:lpstr>
      <vt:lpstr>IntangNet_FY2030</vt:lpstr>
      <vt:lpstr>IS_AvgInvested_FY2026</vt:lpstr>
      <vt:lpstr>IS_AvgInvested_FY2027</vt:lpstr>
      <vt:lpstr>IS_AvgInvested_FY2028</vt:lpstr>
      <vt:lpstr>IS_AvgInvested_FY2029</vt:lpstr>
      <vt:lpstr>IS_AvgInvested_FY2030</vt:lpstr>
      <vt:lpstr>IS_Interest_H1_FY2026</vt:lpstr>
      <vt:lpstr>IS_InterestSolve_FY2026</vt:lpstr>
      <vt:lpstr>IS_InterestSolve_FY2027</vt:lpstr>
      <vt:lpstr>IS_InterestSolve_FY2028</vt:lpstr>
      <vt:lpstr>IS_InterestSolve_FY2029</vt:lpstr>
      <vt:lpstr>IS_InterestSolve_FY2030</vt:lpstr>
      <vt:lpstr>IS_InterestSolved_FY2026</vt:lpstr>
      <vt:lpstr>IS_InterestSolved_FY2027</vt:lpstr>
      <vt:lpstr>IS_InterestSolved_FY2028</vt:lpstr>
      <vt:lpstr>IS_InterestSolved_FY2029</vt:lpstr>
      <vt:lpstr>IS_InterestSolved_FY2030</vt:lpstr>
      <vt:lpstr>IS_NI_H1_Cited</vt:lpstr>
      <vt:lpstr>IS_NI_H1_H2Note</vt:lpstr>
      <vt:lpstr>IS_Revenue_FY2026</vt:lpstr>
      <vt:lpstr>IS_Revenue_FY2027</vt:lpstr>
      <vt:lpstr>IS_Revenue_FY2028</vt:lpstr>
      <vt:lpstr>IS_Revenue_FY2029</vt:lpstr>
      <vt:lpstr>IS_Revenue_FY2030</vt:lpstr>
      <vt:lpstr>NetIncome_FY2026</vt:lpstr>
      <vt:lpstr>NetIncome_FY2027</vt:lpstr>
      <vt:lpstr>NetIncome_FY2028</vt:lpstr>
      <vt:lpstr>NetIncome_FY2029</vt:lpstr>
      <vt:lpstr>NetIncome_FY2030</vt:lpstr>
      <vt:lpstr>NWC_FY2026</vt:lpstr>
      <vt:lpstr>NWC_FY2027</vt:lpstr>
      <vt:lpstr>NWC_FY2028</vt:lpstr>
      <vt:lpstr>NWC_FY2029</vt:lpstr>
      <vt:lpstr>NWC_FY2030</vt:lpstr>
      <vt:lpstr>NWC_Opening_Q2FY26</vt:lpstr>
      <vt:lpstr>NWC_Production_FY2026</vt:lpstr>
      <vt:lpstr>NWC_SupersededBasis_FY2026</vt:lpstr>
      <vt:lpstr>OpexTotal_FY2026</vt:lpstr>
      <vt:lpstr>OpexTotal_FY2027</vt:lpstr>
      <vt:lpstr>OpexTotal_FY2028</vt:lpstr>
      <vt:lpstr>OpexTotal_FY2029</vt:lpstr>
      <vt:lpstr>OpexTotal_FY2030</vt:lpstr>
      <vt:lpstr>OpSens_Dil_Base</vt:lpstr>
      <vt:lpstr>OpSens_Dil_DeltaHigh</vt:lpstr>
      <vt:lpstr>OpSens_Dil_DeltaLow</vt:lpstr>
      <vt:lpstr>OpSens_Dil_Down</vt:lpstr>
      <vt:lpstr>OpSens_Dil_Up</vt:lpstr>
      <vt:lpstr>OpSens_Margin_Base</vt:lpstr>
      <vt:lpstr>OpSens_Margin_DeltaHigh</vt:lpstr>
      <vt:lpstr>OpSens_Margin_DeltaLow</vt:lpstr>
      <vt:lpstr>OpSens_Margin_Down</vt:lpstr>
      <vt:lpstr>OpSens_Margin_Up</vt:lpstr>
      <vt:lpstr>OpSens_Rev_Base</vt:lpstr>
      <vt:lpstr>OpSens_Rev_DeltaHigh</vt:lpstr>
      <vt:lpstr>OpSens_Rev_DeltaLow</vt:lpstr>
      <vt:lpstr>OpSens_Rev_Down</vt:lpstr>
      <vt:lpstr>OpSens_Rev_Up</vt:lpstr>
      <vt:lpstr>OpSens_SBC_Base</vt:lpstr>
      <vt:lpstr>OpSens_SBC_DeltaHigh</vt:lpstr>
      <vt:lpstr>OpSens_SBC_DeltaLow</vt:lpstr>
      <vt:lpstr>OpSens_SBC_Down</vt:lpstr>
      <vt:lpstr>OpSens_SBC_Up</vt:lpstr>
      <vt:lpstr>OptionBasis_FY2026</vt:lpstr>
      <vt:lpstr>OptionBasis_FY2027</vt:lpstr>
      <vt:lpstr>OptionBasis_FY2028</vt:lpstr>
      <vt:lpstr>OptionBasis_FY2029</vt:lpstr>
      <vt:lpstr>OptionBasis_FY2030</vt:lpstr>
      <vt:lpstr>OtherIncNet_FY2026</vt:lpstr>
      <vt:lpstr>OtherIncNet_FY2027</vt:lpstr>
      <vt:lpstr>OtherIncNet_FY2028</vt:lpstr>
      <vt:lpstr>OtherIncNet_FY2029</vt:lpstr>
      <vt:lpstr>OtherIncNet_FY2030</vt:lpstr>
      <vt:lpstr>PF1_Recon_Difference_FY2026</vt:lpstr>
      <vt:lpstr>PPEnet_FY2026</vt:lpstr>
      <vt:lpstr>PPEnet_FY2027</vt:lpstr>
      <vt:lpstr>PPEnet_FY2028</vt:lpstr>
      <vt:lpstr>PPEnet_FY2029</vt:lpstr>
      <vt:lpstr>PPEnet_FY2030</vt:lpstr>
      <vt:lpstr>Prepaid_FY2026</vt:lpstr>
      <vt:lpstr>Prepaid_FY2027</vt:lpstr>
      <vt:lpstr>Prepaid_FY2028</vt:lpstr>
      <vt:lpstr>Prepaid_FY2029</vt:lpstr>
      <vt:lpstr>Prepaid_FY2030</vt:lpstr>
      <vt:lpstr>Pretax_FY2026</vt:lpstr>
      <vt:lpstr>Pretax_FY2027</vt:lpstr>
      <vt:lpstr>Pretax_FY2028</vt:lpstr>
      <vt:lpstr>Pretax_FY2029</vt:lpstr>
      <vt:lpstr>Pretax_FY2030</vt:lpstr>
      <vt:lpstr>'00_Cover'!Print_Titles</vt:lpstr>
      <vt:lpstr>'01_Control'!Print_Titles</vt:lpstr>
      <vt:lpstr>'02_Sources'!Print_Titles</vt:lpstr>
      <vt:lpstr>'03_Historicals'!Print_Titles</vt:lpstr>
      <vt:lpstr>'04_Assumptions'!Print_Titles</vt:lpstr>
      <vt:lpstr>'05_User_Model'!Print_Titles</vt:lpstr>
      <vt:lpstr>'06_Revenue_Bookings'!Print_Titles</vt:lpstr>
      <vt:lpstr>'07_Costs_Opex'!Print_Titles</vt:lpstr>
      <vt:lpstr>'08_Working_Capital'!Print_Titles</vt:lpstr>
      <vt:lpstr>'09_Capex_DA'!Print_Titles</vt:lpstr>
      <vt:lpstr>'10_SBC_Shares'!Print_Titles</vt:lpstr>
      <vt:lpstr>'11_Taxes'!Print_Titles</vt:lpstr>
      <vt:lpstr>'12_IS'!Print_Titles</vt:lpstr>
      <vt:lpstr>'13_BS'!Print_Titles</vt:lpstr>
      <vt:lpstr>'14_CF'!Print_Titles</vt:lpstr>
      <vt:lpstr>'15_DCF'!Print_Titles</vt:lpstr>
      <vt:lpstr>'16_Scenarios_Sens'!Print_Titles</vt:lpstr>
      <vt:lpstr>'17_Checks'!Print_Titles</vt:lpstr>
      <vt:lpstr>'18_Summary'!Print_Titles</vt:lpstr>
      <vt:lpstr>RevTotal_FY2026</vt:lpstr>
      <vt:lpstr>RevTotal_FY2027</vt:lpstr>
      <vt:lpstr>RevTotal_FY2028</vt:lpstr>
      <vt:lpstr>RevTotal_FY2029</vt:lpstr>
      <vt:lpstr>RevTotal_FY2030</vt:lpstr>
      <vt:lpstr>RnD_FY2026</vt:lpstr>
      <vt:lpstr>RnD_FY2027</vt:lpstr>
      <vt:lpstr>RnD_FY2028</vt:lpstr>
      <vt:lpstr>RnD_FY2029</vt:lpstr>
      <vt:lpstr>RnD_FY2030</vt:lpstr>
      <vt:lpstr>SBC_FY2026</vt:lpstr>
      <vt:lpstr>SBC_FY2027</vt:lpstr>
      <vt:lpstr>SBC_FY2028</vt:lpstr>
      <vt:lpstr>SBC_FY2029</vt:lpstr>
      <vt:lpstr>SBC_FY2030</vt:lpstr>
      <vt:lpstr>SBCBasis_FY2026</vt:lpstr>
      <vt:lpstr>SBCBasis_FY2027</vt:lpstr>
      <vt:lpstr>SBCBasis_FY2028</vt:lpstr>
      <vt:lpstr>SBCBasis_FY2029</vt:lpstr>
      <vt:lpstr>SBCBasis_FY2030</vt:lpstr>
      <vt:lpstr>Scen_Base_Canon</vt:lpstr>
      <vt:lpstr>Scen_Base_Equity</vt:lpstr>
      <vt:lpstr>Scen_Base_EV</vt:lpstr>
      <vt:lpstr>Scen_Base_Finite</vt:lpstr>
      <vt:lpstr>Scen_Base_G</vt:lpstr>
      <vt:lpstr>Scen_Base_NetCash</vt:lpstr>
      <vt:lpstr>Scen_Base_OpInc26</vt:lpstr>
      <vt:lpstr>Scen_Base_Rev26</vt:lpstr>
      <vt:lpstr>Scen_Base_Spot</vt:lpstr>
      <vt:lpstr>Scen_Base_WACC</vt:lpstr>
      <vt:lpstr>Scen_Bear_Canon</vt:lpstr>
      <vt:lpstr>Scen_Bear_Equity</vt:lpstr>
      <vt:lpstr>Scen_Bear_EV</vt:lpstr>
      <vt:lpstr>Scen_Bear_Finite</vt:lpstr>
      <vt:lpstr>Scen_Bear_G</vt:lpstr>
      <vt:lpstr>Scen_Bear_NetCash</vt:lpstr>
      <vt:lpstr>Scen_Bear_OpInc26</vt:lpstr>
      <vt:lpstr>Scen_Bear_Rev26</vt:lpstr>
      <vt:lpstr>Scen_Bear_Spot</vt:lpstr>
      <vt:lpstr>Scen_Bear_WACC</vt:lpstr>
      <vt:lpstr>Scen_Bull_Canon</vt:lpstr>
      <vt:lpstr>Scen_Bull_Equity</vt:lpstr>
      <vt:lpstr>Scen_Bull_EV</vt:lpstr>
      <vt:lpstr>Scen_Bull_Finite</vt:lpstr>
      <vt:lpstr>Scen_Bull_G</vt:lpstr>
      <vt:lpstr>Scen_Bull_NetCash</vt:lpstr>
      <vt:lpstr>Scen_Bull_OpInc26</vt:lpstr>
      <vt:lpstr>Scen_Bull_Rev26</vt:lpstr>
      <vt:lpstr>Scen_Bull_Spot</vt:lpstr>
      <vt:lpstr>Scen_Bull_WACC</vt:lpstr>
      <vt:lpstr>Sens_Center</vt:lpstr>
      <vt:lpstr>Sens_G_1</vt:lpstr>
      <vt:lpstr>Sens_G_2</vt:lpstr>
      <vt:lpstr>Sens_G_3</vt:lpstr>
      <vt:lpstr>Sens_G_4</vt:lpstr>
      <vt:lpstr>Sens_G_5</vt:lpstr>
      <vt:lpstr>Sens_G_Base</vt:lpstr>
      <vt:lpstr>Sens_G_Headline</vt:lpstr>
      <vt:lpstr>Sens_Grid_R1C1</vt:lpstr>
      <vt:lpstr>Sens_Grid_R1C2</vt:lpstr>
      <vt:lpstr>Sens_Grid_R1C3</vt:lpstr>
      <vt:lpstr>Sens_Grid_R1C4</vt:lpstr>
      <vt:lpstr>Sens_Grid_R1C5</vt:lpstr>
      <vt:lpstr>Sens_Grid_R2C1</vt:lpstr>
      <vt:lpstr>Sens_Grid_R2C2</vt:lpstr>
      <vt:lpstr>Sens_Grid_R2C3</vt:lpstr>
      <vt:lpstr>Sens_Grid_R2C4</vt:lpstr>
      <vt:lpstr>Sens_Grid_R2C5</vt:lpstr>
      <vt:lpstr>Sens_Grid_R3C1</vt:lpstr>
      <vt:lpstr>Sens_Grid_R3C2</vt:lpstr>
      <vt:lpstr>Sens_Grid_R3C3</vt:lpstr>
      <vt:lpstr>Sens_Grid_R3C4</vt:lpstr>
      <vt:lpstr>Sens_Grid_R3C5</vt:lpstr>
      <vt:lpstr>Sens_Grid_R4C1</vt:lpstr>
      <vt:lpstr>Sens_Grid_R4C2</vt:lpstr>
      <vt:lpstr>Sens_Grid_R4C3</vt:lpstr>
      <vt:lpstr>Sens_Grid_R4C4</vt:lpstr>
      <vt:lpstr>Sens_Grid_R4C5</vt:lpstr>
      <vt:lpstr>Sens_Grid_R5C1</vt:lpstr>
      <vt:lpstr>Sens_Grid_R5C2</vt:lpstr>
      <vt:lpstr>Sens_Grid_R5C3</vt:lpstr>
      <vt:lpstr>Sens_Grid_R5C5</vt:lpstr>
      <vt:lpstr>Sens_Grid_R6C1</vt:lpstr>
      <vt:lpstr>Sens_Grid_R6C2</vt:lpstr>
      <vt:lpstr>Sens_Grid_R6C3</vt:lpstr>
      <vt:lpstr>Sens_Grid_R6C4</vt:lpstr>
      <vt:lpstr>Sens_Grid_R6C5</vt:lpstr>
      <vt:lpstr>Sens_Grid_R7C1</vt:lpstr>
      <vt:lpstr>Sens_Grid_R7C2</vt:lpstr>
      <vt:lpstr>Sens_Grid_R7C3</vt:lpstr>
      <vt:lpstr>Sens_Grid_R7C4</vt:lpstr>
      <vt:lpstr>Sens_Grid_R7C5</vt:lpstr>
      <vt:lpstr>Sens_Grid_R8C1</vt:lpstr>
      <vt:lpstr>Sens_Grid_R8C2</vt:lpstr>
      <vt:lpstr>Sens_Grid_R8C3</vt:lpstr>
      <vt:lpstr>Sens_Grid_R8C4</vt:lpstr>
      <vt:lpstr>Sens_Grid_R8C5</vt:lpstr>
      <vt:lpstr>Sens_Grid_R9C1</vt:lpstr>
      <vt:lpstr>Sens_Grid_R9C2</vt:lpstr>
      <vt:lpstr>Sens_Grid_R9C3</vt:lpstr>
      <vt:lpstr>Sens_Grid_R9C4</vt:lpstr>
      <vt:lpstr>Sens_Grid_R9C5</vt:lpstr>
      <vt:lpstr>Sens_Headline_Canonical</vt:lpstr>
      <vt:lpstr>Sens_WACC_1</vt:lpstr>
      <vt:lpstr>Sens_WACC_2</vt:lpstr>
      <vt:lpstr>Sens_WACC_3</vt:lpstr>
      <vt:lpstr>Sens_WACC_4</vt:lpstr>
      <vt:lpstr>Sens_WACC_5</vt:lpstr>
      <vt:lpstr>Sens_WACC_6</vt:lpstr>
      <vt:lpstr>Sens_WACC_7</vt:lpstr>
      <vt:lpstr>Sens_WACC_8</vt:lpstr>
      <vt:lpstr>Sens_WACC_9</vt:lpstr>
      <vt:lpstr>Sens_WACC_Base</vt:lpstr>
      <vt:lpstr>Sens_WACC_Headline</vt:lpstr>
      <vt:lpstr>SettlementBasis_FY2026</vt:lpstr>
      <vt:lpstr>SettlementBasis_FY2027</vt:lpstr>
      <vt:lpstr>SettlementBasis_FY2028</vt:lpstr>
      <vt:lpstr>SettlementBasis_FY2029</vt:lpstr>
      <vt:lpstr>SettlementBasis_FY2030</vt:lpstr>
      <vt:lpstr>SnM_FY2026</vt:lpstr>
      <vt:lpstr>SnM_FY2027</vt:lpstr>
      <vt:lpstr>SnM_FY2028</vt:lpstr>
      <vt:lpstr>SnM_FY2029</vt:lpstr>
      <vt:lpstr>SnM_FY2030</vt:lpstr>
      <vt:lpstr>Stage1_First</vt:lpstr>
      <vt:lpstr>Stage1_Label</vt:lpstr>
      <vt:lpstr>Stage1_Last</vt:lpstr>
      <vt:lpstr>Stage1_Last_Year</vt:lpstr>
      <vt:lpstr>Stage2_First</vt:lpstr>
      <vt:lpstr>Stage2_First_Year</vt:lpstr>
      <vt:lpstr>Stage2_Label</vt:lpstr>
      <vt:lpstr>Stage2_Last</vt:lpstr>
      <vt:lpstr>Stage3_Label</vt:lpstr>
      <vt:lpstr>SUM18_EbitMargin_FY2026</vt:lpstr>
      <vt:lpstr>SUM18_EbitMargin_FY2027</vt:lpstr>
      <vt:lpstr>SUM18_EbitMargin_FY2028</vt:lpstr>
      <vt:lpstr>SUM18_EbitMargin_FY2029</vt:lpstr>
      <vt:lpstr>SUM18_EbitMargin_FY2030</vt:lpstr>
      <vt:lpstr>SUM18_GrossMargin_FY2026</vt:lpstr>
      <vt:lpstr>SUM18_GrossMargin_FY2027</vt:lpstr>
      <vt:lpstr>SUM18_GrossMargin_FY2028</vt:lpstr>
      <vt:lpstr>SUM18_GrossMargin_FY2029</vt:lpstr>
      <vt:lpstr>SUM18_GrossMargin_FY2030</vt:lpstr>
      <vt:lpstr>SUM18_GrossProfit_FY2026</vt:lpstr>
      <vt:lpstr>SUM18_GrossProfit_FY2027</vt:lpstr>
      <vt:lpstr>SUM18_GrossProfit_FY2028</vt:lpstr>
      <vt:lpstr>SUM18_GrossProfit_FY2029</vt:lpstr>
      <vt:lpstr>SUM18_GrossProfit_FY2030</vt:lpstr>
      <vt:lpstr>SUM18_NetMargin_FY2026</vt:lpstr>
      <vt:lpstr>SUM18_NetMargin_FY2027</vt:lpstr>
      <vt:lpstr>SUM18_NetMargin_FY2028</vt:lpstr>
      <vt:lpstr>SUM18_NetMargin_FY2029</vt:lpstr>
      <vt:lpstr>SUM18_NetMargin_FY2030</vt:lpstr>
      <vt:lpstr>SUM18_RevGrowth_FY2027</vt:lpstr>
      <vt:lpstr>SUM18_RevGrowth_FY2028</vt:lpstr>
      <vt:lpstr>SUM18_RevGrowth_FY2029</vt:lpstr>
      <vt:lpstr>SUM18_RevGrowth_FY2030</vt:lpstr>
      <vt:lpstr>SUM18_Upside</vt:lpstr>
      <vt:lpstr>Tax_FY2026</vt:lpstr>
      <vt:lpstr>Tax_FY2027</vt:lpstr>
      <vt:lpstr>Tax_FY2028</vt:lpstr>
      <vt:lpstr>Tax_FY2029</vt:lpstr>
      <vt:lpstr>Tax_FY2030</vt:lpstr>
      <vt:lpstr>TaxPayable_FY2026</vt:lpstr>
      <vt:lpstr>TaxPayable_FY2027</vt:lpstr>
      <vt:lpstr>TaxPayable_FY2028</vt:lpstr>
      <vt:lpstr>TaxPayable_FY2029</vt:lpstr>
      <vt:lpstr>TaxPayable_FY2030</vt:lpstr>
      <vt:lpstr>TaxReceivable_FY2026</vt:lpstr>
      <vt:lpstr>TaxReceivable_FY2027</vt:lpstr>
      <vt:lpstr>TaxReceivable_FY2028</vt:lpstr>
      <vt:lpstr>TaxReceivable_FY2029</vt:lpstr>
      <vt:lpstr>TaxReceivable_FY2030</vt:lpstr>
      <vt:lpstr>Tolerance_USD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Duolingo, Inc. — Financial Model Snapshot</dc:title>
  <dc:subject>Functional workbook, live formulas, frozen as-of basis</dc:subject>
  <dc:creator/>
  <cp:keywords/>
  <dc:description/>
  <cp:lastModifiedBy/>
  <dcterms:created xsi:type="dcterms:W3CDTF">2026-10-06T00:00:00Z</dcterms:created>
  <dcterms:modified xsi:type="dcterms:W3CDTF">2026-10-07T21:16:19Z</dcterms:modified>
  <cp:category/>
</cp:coreProperties>
</file>